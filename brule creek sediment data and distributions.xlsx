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coyotesusd-my.sharepoint.com/personal/morgan_hrivnak_coyotes_usd_edu/Documents/Desktop/"/>
    </mc:Choice>
  </mc:AlternateContent>
  <xr:revisionPtr revIDLastSave="0" documentId="8_{888A8C78-572A-4506-962F-D923EC761ADA}" xr6:coauthVersionLast="47" xr6:coauthVersionMax="47" xr10:uidLastSave="{00000000-0000-0000-0000-000000000000}"/>
  <bookViews>
    <workbookView xWindow="15" yWindow="390" windowWidth="18315" windowHeight="15135" xr2:uid="{00000000-000D-0000-FFFF-FFFF00000000}"/>
  </bookViews>
  <sheets>
    <sheet name="final sediment distributions" sheetId="4" r:id="rId1"/>
    <sheet name="field measurements" sheetId="1" r:id="rId2"/>
    <sheet name="finer sediment" sheetId="3" r:id="rId3"/>
    <sheet name="Copy of field measurements" sheetId="2" r:id="rId4"/>
  </sheets>
  <definedNames>
    <definedName name="_xlchart.v1.0" hidden="1">'field measurements'!$B$4:$B$9</definedName>
    <definedName name="_xlchart.v1.1" hidden="1">'field measurements'!$C$2</definedName>
    <definedName name="_xlchart.v1.10" hidden="1">'field measurements'!$K$4:$K$9</definedName>
    <definedName name="_xlchart.v1.11" hidden="1">'field measurements'!$L$2</definedName>
    <definedName name="_xlchart.v1.12" hidden="1">'field measurements'!$L$4:$L$9</definedName>
    <definedName name="_xlchart.v1.13" hidden="1">'field measurements'!$M$2</definedName>
    <definedName name="_xlchart.v1.14" hidden="1">'field measurements'!$M$4:$M$9</definedName>
    <definedName name="_xlchart.v1.15" hidden="1">'field measurements'!$N$2</definedName>
    <definedName name="_xlchart.v1.16" hidden="1">'field measurements'!$N$4:$N$9</definedName>
    <definedName name="_xlchart.v1.17" hidden="1">'field measurements'!$P$2</definedName>
    <definedName name="_xlchart.v1.18" hidden="1">'field measurements'!$P$4:$P$9</definedName>
    <definedName name="_xlchart.v1.19" hidden="1">'field measurements'!$Q$2</definedName>
    <definedName name="_xlchart.v1.2" hidden="1">'field measurements'!$C$4:$C$9</definedName>
    <definedName name="_xlchart.v1.20" hidden="1">'field measurements'!$Q$4:$Q$9</definedName>
    <definedName name="_xlchart.v1.3" hidden="1">'field measurements'!$D$2</definedName>
    <definedName name="_xlchart.v1.4" hidden="1">'field measurements'!$D$4:$D$9</definedName>
    <definedName name="_xlchart.v1.5" hidden="1">'field measurements'!$E$2</definedName>
    <definedName name="_xlchart.v1.6" hidden="1">'field measurements'!$E$4:$E$9</definedName>
    <definedName name="_xlchart.v1.7" hidden="1">'field measurements'!$I$2</definedName>
    <definedName name="_xlchart.v1.8" hidden="1">'field measurements'!$I$4:$I$9</definedName>
    <definedName name="_xlchart.v1.9" hidden="1">'field measurements'!$K$2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3" l="1" a="1"/>
  <c r="C63" i="3"/>
  <c r="D63" i="3" a="1"/>
  <c r="D63" i="3"/>
  <c r="E63" i="3" a="1"/>
  <c r="E63" i="3"/>
  <c r="F63" i="3" a="1"/>
  <c r="F63" i="3"/>
  <c r="C62" i="3" a="1"/>
  <c r="C62" i="3"/>
  <c r="D62" i="3" a="1"/>
  <c r="D62" i="3"/>
  <c r="E62" i="3" a="1"/>
  <c r="E62" i="3"/>
  <c r="F62" i="3" a="1"/>
  <c r="F62" i="3"/>
  <c r="C61" i="3" a="1"/>
  <c r="C61" i="3"/>
  <c r="D61" i="3" a="1"/>
  <c r="D61" i="3"/>
  <c r="E61" i="3" a="1"/>
  <c r="E61" i="3"/>
  <c r="F61" i="3" a="1"/>
  <c r="F61" i="3"/>
  <c r="C60" i="3" a="1"/>
  <c r="C60" i="3"/>
  <c r="D60" i="3" a="1"/>
  <c r="D60" i="3"/>
  <c r="E60" i="3" a="1"/>
  <c r="E60" i="3"/>
  <c r="F60" i="3" a="1"/>
  <c r="F60" i="3"/>
  <c r="B61" i="3" a="1"/>
  <c r="B61" i="3"/>
  <c r="B62" i="3" a="1"/>
  <c r="B62" i="3"/>
  <c r="B63" i="3" a="1"/>
  <c r="B63" i="3"/>
  <c r="B60" i="3" a="1"/>
  <c r="B60" i="3" s="1"/>
  <c r="F44" i="3"/>
  <c r="F43" i="3"/>
  <c r="F42" i="3"/>
  <c r="F41" i="3"/>
  <c r="F40" i="3"/>
  <c r="F39" i="3"/>
  <c r="F38" i="3"/>
  <c r="F37" i="3"/>
  <c r="E44" i="3"/>
  <c r="E43" i="3"/>
  <c r="E42" i="3"/>
  <c r="E41" i="3"/>
  <c r="E40" i="3"/>
  <c r="E39" i="3"/>
  <c r="E38" i="3"/>
  <c r="E37" i="3"/>
  <c r="D41" i="3"/>
  <c r="D40" i="3"/>
  <c r="D39" i="3"/>
  <c r="D38" i="3"/>
  <c r="D37" i="3"/>
  <c r="C44" i="3"/>
  <c r="C43" i="3"/>
  <c r="C42" i="3"/>
  <c r="C41" i="3"/>
  <c r="C40" i="3"/>
  <c r="C39" i="3"/>
  <c r="C38" i="3"/>
  <c r="C37" i="3"/>
  <c r="B39" i="3"/>
  <c r="B40" i="3"/>
  <c r="B41" i="3"/>
  <c r="B42" i="3"/>
  <c r="B43" i="3"/>
  <c r="B44" i="3"/>
  <c r="B38" i="3"/>
  <c r="B37" i="3"/>
  <c r="F34" i="3"/>
  <c r="F33" i="3"/>
  <c r="F32" i="3"/>
  <c r="F31" i="3"/>
  <c r="F30" i="3"/>
  <c r="F29" i="3"/>
  <c r="F28" i="3"/>
  <c r="F27" i="3"/>
  <c r="E34" i="3"/>
  <c r="E33" i="3"/>
  <c r="E32" i="3"/>
  <c r="E31" i="3"/>
  <c r="E30" i="3"/>
  <c r="E29" i="3"/>
  <c r="E28" i="3"/>
  <c r="E27" i="3"/>
  <c r="D28" i="3"/>
  <c r="D32" i="3"/>
  <c r="D42" i="3" s="1"/>
  <c r="D31" i="3"/>
  <c r="D30" i="3"/>
  <c r="D29" i="3"/>
  <c r="D27" i="3"/>
  <c r="C34" i="3"/>
  <c r="C33" i="3"/>
  <c r="C32" i="3"/>
  <c r="C31" i="3"/>
  <c r="C30" i="3"/>
  <c r="C29" i="3"/>
  <c r="C28" i="3"/>
  <c r="C27" i="3"/>
  <c r="B27" i="3"/>
  <c r="B34" i="3"/>
  <c r="B33" i="3"/>
  <c r="B32" i="3"/>
  <c r="B31" i="3"/>
  <c r="B30" i="3"/>
  <c r="B29" i="3"/>
  <c r="B28" i="3"/>
  <c r="Q42" i="1" a="1"/>
  <c r="Q42" i="1" s="1"/>
  <c r="Q41" i="1" a="1"/>
  <c r="Q41" i="1" s="1"/>
  <c r="Q40" i="1" a="1"/>
  <c r="Q40" i="1" s="1"/>
  <c r="Q39" i="1" a="1"/>
  <c r="Q39" i="1" s="1"/>
  <c r="P42" i="1" a="1"/>
  <c r="P42" i="1" s="1"/>
  <c r="P41" i="1" a="1"/>
  <c r="P41" i="1" s="1"/>
  <c r="P40" i="1" a="1"/>
  <c r="P40" i="1" s="1"/>
  <c r="P39" i="1" a="1"/>
  <c r="P39" i="1" s="1"/>
  <c r="N42" i="1"/>
  <c r="N42" i="1" a="1"/>
  <c r="N41" i="1" a="1"/>
  <c r="N41" i="1" s="1"/>
  <c r="N40" i="1" a="1"/>
  <c r="N40" i="1" s="1"/>
  <c r="N39" i="1" a="1"/>
  <c r="N39" i="1" s="1"/>
  <c r="M42" i="1" a="1"/>
  <c r="M42" i="1" s="1"/>
  <c r="M41" i="1" a="1"/>
  <c r="M41" i="1" s="1"/>
  <c r="M40" i="1" a="1"/>
  <c r="M40" i="1" s="1"/>
  <c r="M39" i="1" a="1"/>
  <c r="M39" i="1" s="1"/>
  <c r="L42" i="1" a="1"/>
  <c r="L42" i="1" s="1"/>
  <c r="L41" i="1" a="1"/>
  <c r="L41" i="1" s="1"/>
  <c r="L40" i="1" a="1"/>
  <c r="L40" i="1" s="1"/>
  <c r="L39" i="1" a="1"/>
  <c r="L39" i="1" s="1"/>
  <c r="K42" i="1" a="1"/>
  <c r="K42" i="1" s="1"/>
  <c r="K41" i="1" a="1"/>
  <c r="K41" i="1" s="1"/>
  <c r="K40" i="1" a="1"/>
  <c r="K40" i="1" s="1"/>
  <c r="K39" i="1" a="1"/>
  <c r="K39" i="1" s="1"/>
  <c r="I42" i="1" a="1"/>
  <c r="I42" i="1" s="1"/>
  <c r="I41" i="1" a="1"/>
  <c r="I41" i="1" s="1"/>
  <c r="I40" i="1" a="1"/>
  <c r="I40" i="1" s="1"/>
  <c r="I39" i="1" a="1"/>
  <c r="I39" i="1" s="1"/>
  <c r="E42" i="1" a="1"/>
  <c r="E42" i="1" s="1"/>
  <c r="E41" i="1" a="1"/>
  <c r="E41" i="1" s="1"/>
  <c r="E40" i="1" a="1"/>
  <c r="E40" i="1" s="1"/>
  <c r="E39" i="1" a="1"/>
  <c r="E39" i="1" s="1"/>
  <c r="D42" i="1" a="1"/>
  <c r="D42" i="1" s="1"/>
  <c r="D41" i="1" a="1"/>
  <c r="D41" i="1" s="1"/>
  <c r="D40" i="1" a="1"/>
  <c r="D40" i="1" s="1"/>
  <c r="D39" i="1" a="1"/>
  <c r="D39" i="1" s="1"/>
  <c r="Q37" i="1"/>
  <c r="Q36" i="1"/>
  <c r="Q35" i="1"/>
  <c r="Q34" i="1"/>
  <c r="Q33" i="1"/>
  <c r="Q32" i="1"/>
  <c r="Q31" i="1"/>
  <c r="P37" i="1"/>
  <c r="P36" i="1"/>
  <c r="P35" i="1"/>
  <c r="P34" i="1"/>
  <c r="P33" i="1"/>
  <c r="P32" i="1"/>
  <c r="P31" i="1"/>
  <c r="N37" i="1"/>
  <c r="N36" i="1"/>
  <c r="N35" i="1"/>
  <c r="N34" i="1"/>
  <c r="N33" i="1"/>
  <c r="N32" i="1"/>
  <c r="N31" i="1"/>
  <c r="M37" i="1"/>
  <c r="M36" i="1"/>
  <c r="M35" i="1"/>
  <c r="M34" i="1"/>
  <c r="M33" i="1"/>
  <c r="M32" i="1"/>
  <c r="M31" i="1"/>
  <c r="L37" i="1"/>
  <c r="L36" i="1"/>
  <c r="L35" i="1"/>
  <c r="L34" i="1"/>
  <c r="L33" i="1"/>
  <c r="L32" i="1"/>
  <c r="L31" i="1"/>
  <c r="K37" i="1"/>
  <c r="K36" i="1"/>
  <c r="K35" i="1"/>
  <c r="K34" i="1"/>
  <c r="K33" i="1"/>
  <c r="K32" i="1"/>
  <c r="K31" i="1"/>
  <c r="I37" i="1"/>
  <c r="I36" i="1"/>
  <c r="I35" i="1"/>
  <c r="I34" i="1"/>
  <c r="I33" i="1"/>
  <c r="I32" i="1"/>
  <c r="I31" i="1"/>
  <c r="E37" i="1"/>
  <c r="E36" i="1"/>
  <c r="E35" i="1"/>
  <c r="E34" i="1"/>
  <c r="E33" i="1"/>
  <c r="E32" i="1"/>
  <c r="E31" i="1"/>
  <c r="Q17" i="1"/>
  <c r="P17" i="1"/>
  <c r="N17" i="1"/>
  <c r="M17" i="1"/>
  <c r="L17" i="1"/>
  <c r="K17" i="1"/>
  <c r="I17" i="1"/>
  <c r="E17" i="1"/>
  <c r="D17" i="1"/>
  <c r="D37" i="1"/>
  <c r="D36" i="1"/>
  <c r="D35" i="1"/>
  <c r="D34" i="1"/>
  <c r="D33" i="1"/>
  <c r="D32" i="1"/>
  <c r="D31" i="1"/>
  <c r="C42" i="1" a="1"/>
  <c r="C42" i="1"/>
  <c r="C41" i="1" a="1"/>
  <c r="C41" i="1" s="1"/>
  <c r="C40" i="1" a="1"/>
  <c r="C40" i="1" s="1"/>
  <c r="C39" i="1" a="1"/>
  <c r="C39" i="1" s="1"/>
  <c r="C37" i="1"/>
  <c r="C36" i="1"/>
  <c r="C35" i="1"/>
  <c r="C34" i="1"/>
  <c r="C33" i="1"/>
  <c r="C32" i="1"/>
  <c r="C31" i="1"/>
  <c r="C17" i="1"/>
  <c r="F22" i="3"/>
  <c r="E22" i="3"/>
  <c r="D22" i="3"/>
  <c r="C22" i="3"/>
  <c r="B22" i="3"/>
  <c r="F21" i="3"/>
  <c r="E21" i="3"/>
  <c r="D21" i="3"/>
  <c r="C21" i="3"/>
  <c r="B21" i="3"/>
  <c r="F20" i="3"/>
  <c r="E20" i="3"/>
  <c r="D20" i="3"/>
  <c r="D34" i="3" s="1"/>
  <c r="D44" i="3" s="1"/>
  <c r="C20" i="3"/>
  <c r="B20" i="3"/>
  <c r="F19" i="3"/>
  <c r="E19" i="3"/>
  <c r="D19" i="3"/>
  <c r="C19" i="3"/>
  <c r="B19" i="3"/>
  <c r="F18" i="3"/>
  <c r="E18" i="3"/>
  <c r="D18" i="3"/>
  <c r="C18" i="3"/>
  <c r="B18" i="3"/>
  <c r="F17" i="3"/>
  <c r="E17" i="3"/>
  <c r="D17" i="3"/>
  <c r="C17" i="3"/>
  <c r="B17" i="3"/>
  <c r="F16" i="3"/>
  <c r="E16" i="3"/>
  <c r="D16" i="3"/>
  <c r="C16" i="3"/>
  <c r="B16" i="3"/>
  <c r="F15" i="3"/>
  <c r="F24" i="3" s="1"/>
  <c r="E15" i="3"/>
  <c r="E24" i="3" s="1"/>
  <c r="D15" i="3"/>
  <c r="D24" i="3" s="1"/>
  <c r="C15" i="3"/>
  <c r="C24" i="3" s="1"/>
  <c r="B15" i="3"/>
  <c r="B24" i="3" s="1"/>
  <c r="J26" i="2"/>
  <c r="H26" i="2"/>
  <c r="G26" i="2"/>
  <c r="F26" i="2"/>
  <c r="I24" i="2"/>
  <c r="I33" i="2" s="1"/>
  <c r="I23" i="2"/>
  <c r="I32" i="2" s="1"/>
  <c r="E23" i="2"/>
  <c r="D23" i="2"/>
  <c r="I22" i="2"/>
  <c r="E22" i="2"/>
  <c r="D22" i="2"/>
  <c r="C22" i="2"/>
  <c r="Q21" i="2"/>
  <c r="I21" i="2"/>
  <c r="E21" i="2"/>
  <c r="D21" i="2"/>
  <c r="C21" i="2"/>
  <c r="Q20" i="2"/>
  <c r="P20" i="2"/>
  <c r="N20" i="2"/>
  <c r="I20" i="2"/>
  <c r="Q19" i="2"/>
  <c r="P19" i="2"/>
  <c r="N19" i="2"/>
  <c r="M19" i="2"/>
  <c r="L19" i="2"/>
  <c r="Q17" i="2"/>
  <c r="Q22" i="2" s="1"/>
  <c r="P17" i="2"/>
  <c r="P21" i="2" s="1"/>
  <c r="O17" i="2"/>
  <c r="N17" i="2"/>
  <c r="N22" i="2" s="1"/>
  <c r="M17" i="2"/>
  <c r="M20" i="2" s="1"/>
  <c r="L17" i="2"/>
  <c r="L20" i="2" s="1"/>
  <c r="K17" i="2"/>
  <c r="K19" i="2" s="1"/>
  <c r="J17" i="2"/>
  <c r="I17" i="2"/>
  <c r="I19" i="2" s="1"/>
  <c r="I26" i="2" s="1"/>
  <c r="H17" i="2"/>
  <c r="G17" i="2"/>
  <c r="F17" i="2"/>
  <c r="E17" i="2"/>
  <c r="E24" i="2" s="1"/>
  <c r="D17" i="2"/>
  <c r="D24" i="2" s="1"/>
  <c r="C17" i="2"/>
  <c r="C23" i="2" s="1"/>
  <c r="Q22" i="1"/>
  <c r="Q23" i="1" s="1"/>
  <c r="Q24" i="1" s="1"/>
  <c r="Q25" i="1" s="1"/>
  <c r="Q26" i="1" s="1"/>
  <c r="Q27" i="1" s="1"/>
  <c r="P22" i="1"/>
  <c r="P23" i="1" s="1"/>
  <c r="P24" i="1" s="1"/>
  <c r="P25" i="1" s="1"/>
  <c r="P26" i="1" s="1"/>
  <c r="P27" i="1" s="1"/>
  <c r="N22" i="1"/>
  <c r="N23" i="1" s="1"/>
  <c r="N24" i="1" s="1"/>
  <c r="N25" i="1" s="1"/>
  <c r="N26" i="1" s="1"/>
  <c r="N27" i="1" s="1"/>
  <c r="M22" i="1"/>
  <c r="M23" i="1" s="1"/>
  <c r="M24" i="1" s="1"/>
  <c r="M25" i="1" s="1"/>
  <c r="M26" i="1" s="1"/>
  <c r="M27" i="1" s="1"/>
  <c r="L22" i="1"/>
  <c r="L23" i="1" s="1"/>
  <c r="L24" i="1" s="1"/>
  <c r="L25" i="1" s="1"/>
  <c r="L26" i="1" s="1"/>
  <c r="L27" i="1" s="1"/>
  <c r="K22" i="1"/>
  <c r="K23" i="1" s="1"/>
  <c r="K24" i="1" s="1"/>
  <c r="K25" i="1" s="1"/>
  <c r="K26" i="1" s="1"/>
  <c r="K27" i="1" s="1"/>
  <c r="I22" i="1"/>
  <c r="I23" i="1" s="1"/>
  <c r="I24" i="1" s="1"/>
  <c r="I25" i="1" s="1"/>
  <c r="I26" i="1" s="1"/>
  <c r="I27" i="1" s="1"/>
  <c r="E22" i="1"/>
  <c r="E23" i="1" s="1"/>
  <c r="E24" i="1" s="1"/>
  <c r="E25" i="1" s="1"/>
  <c r="E26" i="1" s="1"/>
  <c r="E27" i="1" s="1"/>
  <c r="D22" i="1"/>
  <c r="D23" i="1" s="1"/>
  <c r="D24" i="1" s="1"/>
  <c r="D25" i="1" s="1"/>
  <c r="D26" i="1" s="1"/>
  <c r="D27" i="1" s="1"/>
  <c r="C22" i="1"/>
  <c r="C23" i="1" s="1"/>
  <c r="C24" i="1" s="1"/>
  <c r="C25" i="1" s="1"/>
  <c r="C26" i="1" s="1"/>
  <c r="C27" i="1" s="1"/>
  <c r="D33" i="3" l="1"/>
  <c r="D43" i="3" s="1"/>
  <c r="Q31" i="2"/>
  <c r="Q30" i="2"/>
  <c r="Q28" i="2"/>
  <c r="I31" i="2"/>
  <c r="I30" i="2"/>
  <c r="K24" i="2"/>
  <c r="L24" i="2"/>
  <c r="I29" i="2"/>
  <c r="L23" i="2"/>
  <c r="C20" i="2"/>
  <c r="K22" i="2"/>
  <c r="P24" i="2"/>
  <c r="P33" i="2" s="1"/>
  <c r="D20" i="2"/>
  <c r="D29" i="2" s="1"/>
  <c r="L22" i="2"/>
  <c r="Q24" i="2"/>
  <c r="C19" i="2"/>
  <c r="K21" i="2"/>
  <c r="P23" i="2"/>
  <c r="D19" i="2"/>
  <c r="L21" i="2"/>
  <c r="Q23" i="2"/>
  <c r="E19" i="2"/>
  <c r="M21" i="2"/>
  <c r="N21" i="2"/>
  <c r="K23" i="2"/>
  <c r="M24" i="2"/>
  <c r="N24" i="2"/>
  <c r="M23" i="2"/>
  <c r="N23" i="2"/>
  <c r="E20" i="2"/>
  <c r="E29" i="2" s="1"/>
  <c r="M22" i="2"/>
  <c r="K20" i="2"/>
  <c r="P22" i="2"/>
  <c r="C24" i="2"/>
  <c r="M29" i="2" l="1"/>
  <c r="K32" i="2"/>
  <c r="L29" i="2"/>
  <c r="N30" i="2"/>
  <c r="M30" i="2"/>
  <c r="K31" i="2"/>
  <c r="E28" i="2"/>
  <c r="E26" i="2"/>
  <c r="C29" i="2"/>
  <c r="N26" i="2"/>
  <c r="N31" i="2" s="1"/>
  <c r="P31" i="2"/>
  <c r="Q32" i="2"/>
  <c r="M26" i="2"/>
  <c r="M33" i="2" s="1"/>
  <c r="K29" i="2"/>
  <c r="L26" i="2"/>
  <c r="L33" i="2" s="1"/>
  <c r="M31" i="2"/>
  <c r="D26" i="2"/>
  <c r="D28" i="2"/>
  <c r="Q29" i="2"/>
  <c r="P32" i="2"/>
  <c r="K33" i="2"/>
  <c r="N32" i="2"/>
  <c r="K30" i="2"/>
  <c r="P30" i="2"/>
  <c r="M32" i="2"/>
  <c r="C26" i="2"/>
  <c r="C31" i="2" s="1"/>
  <c r="C28" i="2"/>
  <c r="C30" i="2"/>
  <c r="C35" i="2" s="1" a="1"/>
  <c r="C35" i="2" s="1"/>
  <c r="N33" i="2"/>
  <c r="Q33" i="2"/>
  <c r="K26" i="2"/>
  <c r="P29" i="2"/>
  <c r="N29" i="2"/>
  <c r="D32" i="2" l="1"/>
  <c r="D33" i="2"/>
  <c r="D30" i="2"/>
  <c r="D31" i="2"/>
  <c r="E32" i="2"/>
  <c r="E33" i="2"/>
  <c r="E30" i="2"/>
  <c r="E31" i="2"/>
  <c r="C32" i="2"/>
  <c r="C33" i="2"/>
  <c r="L30" i="2"/>
  <c r="L32" i="2"/>
  <c r="L31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<sst xmlns="http://schemas.openxmlformats.org/spreadsheetml/2006/main" count="159" uniqueCount="61">
  <si>
    <t>size class</t>
  </si>
  <si>
    <t xml:space="preserve">site  </t>
  </si>
  <si>
    <t>range (mm)</t>
  </si>
  <si>
    <t xml:space="preserve">class number </t>
  </si>
  <si>
    <t>site 1 s1</t>
  </si>
  <si>
    <t>site 1 s2</t>
  </si>
  <si>
    <t>site 1 s3</t>
  </si>
  <si>
    <t>site 2 s1</t>
  </si>
  <si>
    <t>site 3 s1</t>
  </si>
  <si>
    <t>site 3 s2</t>
  </si>
  <si>
    <t>site 4 s1</t>
  </si>
  <si>
    <t>site 4 s2</t>
  </si>
  <si>
    <t>site 4 s3</t>
  </si>
  <si>
    <t>site 5 s1</t>
  </si>
  <si>
    <t>site 5 s2</t>
  </si>
  <si>
    <t>site 5 s3</t>
  </si>
  <si>
    <t xml:space="preserve">site 6 s1 </t>
  </si>
  <si>
    <t>site 6 s2</t>
  </si>
  <si>
    <t>site 6 s3</t>
  </si>
  <si>
    <t>&lt; 2</t>
  </si>
  <si>
    <t>Expanded on sheet 2</t>
  </si>
  <si>
    <t>16-32</t>
  </si>
  <si>
    <t>32-64</t>
  </si>
  <si>
    <t>64-50</t>
  </si>
  <si>
    <t>90-128</t>
  </si>
  <si>
    <t>128-256</t>
  </si>
  <si>
    <t>256-512</t>
  </si>
  <si>
    <t>512-1024</t>
  </si>
  <si>
    <t>1024-2048</t>
  </si>
  <si>
    <t>&gt; 2048</t>
  </si>
  <si>
    <t>PERCENT VOLUME</t>
  </si>
  <si>
    <t>CUMMULATIVE VOLUME</t>
  </si>
  <si>
    <t>D5</t>
  </si>
  <si>
    <t>D16</t>
  </si>
  <si>
    <t>D50</t>
  </si>
  <si>
    <t>D84</t>
  </si>
  <si>
    <t>Total Counts</t>
  </si>
  <si>
    <t>% of counts</t>
  </si>
  <si>
    <t>cumulative % finer</t>
  </si>
  <si>
    <t>id</t>
  </si>
  <si>
    <t>site 6 s1</t>
  </si>
  <si>
    <t>sieve size (mm)</t>
  </si>
  <si>
    <t>sample split weight</t>
  </si>
  <si>
    <t>gravel &gt;8 mm</t>
  </si>
  <si>
    <t>sample &lt;8 mm</t>
  </si>
  <si>
    <t>4 mm sieve</t>
  </si>
  <si>
    <t>2 mm sieve</t>
  </si>
  <si>
    <t>1 mm sieve</t>
  </si>
  <si>
    <t>500 um sieve</t>
  </si>
  <si>
    <t>250 um sieve</t>
  </si>
  <si>
    <t>125 um sieve</t>
  </si>
  <si>
    <t>63 um sieve</t>
  </si>
  <si>
    <t>&lt;63 um sieve</t>
  </si>
  <si>
    <t>percent retained per sieve</t>
  </si>
  <si>
    <t>CUMMULATIVE PERCENT</t>
  </si>
  <si>
    <t>upper range (mm)</t>
  </si>
  <si>
    <t xml:space="preserve">cummulative % retained </t>
  </si>
  <si>
    <t>Cumulative % finer</t>
  </si>
  <si>
    <t>sieve sizes</t>
  </si>
  <si>
    <t xml:space="preserve">sorted it as ascending rather than descending </t>
  </si>
  <si>
    <t>Distributions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</si>
</sst>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"/>
  </numFmts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0" fontId="1" fillId="2" borderId="0" xfId="0" applyFont="1" applyFill="1"/>
    <xf numFmtId="0" fontId="3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1" xfId="0" applyFont="1" applyBorder="1"/>
    <xf numFmtId="0" fontId="1" fillId="0" borderId="0" xfId="0" applyFont="1"/>
    <xf numFmtId="0" fontId="0" fillId="0" borderId="0" xfId="0"/>
    <xf numFmtId="0" fontId="5" fillId="0" borderId="4" xfId="0" applyFont="1" applyFill="1" applyBorder="1" applyAlignment="1">
      <alignment horizontal="center"/>
    </xf>
    <xf numFmtId="0" fontId="4" fillId="0" borderId="5" xfId="0" applyFont="1" applyBorder="1"/>
    <xf numFmtId="0" fontId="5" fillId="0" borderId="6" xfId="0" applyFont="1" applyFill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4" fillId="0" borderId="9" xfId="0" applyFont="1" applyBorder="1"/>
    <xf numFmtId="0" fontId="0" fillId="0" borderId="0" xfId="0" applyBorder="1"/>
    <xf numFmtId="0" fontId="0" fillId="0" borderId="10" xfId="0" applyBorder="1"/>
    <xf numFmtId="0" fontId="4" fillId="0" borderId="11" xfId="0" applyFont="1" applyBorder="1"/>
    <xf numFmtId="0" fontId="5" fillId="0" borderId="12" xfId="0" applyFont="1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5" fillId="0" borderId="15" xfId="0" applyFont="1" applyBorder="1"/>
    <xf numFmtId="0" fontId="0" fillId="0" borderId="4" xfId="0" applyBorder="1"/>
    <xf numFmtId="0" fontId="1" fillId="0" borderId="15" xfId="0" applyFont="1" applyBorder="1"/>
    <xf numFmtId="0" fontId="0" fillId="0" borderId="15" xfId="0" applyBorder="1"/>
    <xf numFmtId="0" fontId="7" fillId="0" borderId="0" xfId="0" applyFont="1"/>
    <xf numFmtId="0" fontId="7" fillId="0" borderId="4" xfId="0" applyFont="1" applyBorder="1"/>
    <xf numFmtId="0" fontId="0" fillId="0" borderId="4" xfId="0" applyFill="1" applyBorder="1"/>
    <xf numFmtId="0" fontId="0" fillId="0" borderId="16" xfId="0" applyBorder="1"/>
    <xf numFmtId="0" fontId="6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 Volumes of Brule Creek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'field measurements'!$C$2</c:f>
              <c:strCache>
                <c:ptCount val="1"/>
                <c:pt idx="0">
                  <c:v>site 1 s1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'field measurements'!$B$3:$B$9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'field measurements'!$C$3:$C$9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B3-4201-8E0F-A31F0D695999}"/>
            </c:ext>
          </c:extLst>
        </c:ser>
        <c:ser>
          <c:idx val="2"/>
          <c:order val="1"/>
          <c:tx>
            <c:strRef>
              <c:f>'field measurements'!$D$2</c:f>
              <c:strCache>
                <c:ptCount val="1"/>
                <c:pt idx="0">
                  <c:v>site 1 s2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'field measurements'!$B$3:$B$9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'field measurements'!$D$3:$D$9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7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B3-4201-8E0F-A31F0D695999}"/>
            </c:ext>
          </c:extLst>
        </c:ser>
        <c:ser>
          <c:idx val="3"/>
          <c:order val="2"/>
          <c:tx>
            <c:strRef>
              <c:f>'field measurements'!$E$2</c:f>
              <c:strCache>
                <c:ptCount val="1"/>
                <c:pt idx="0">
                  <c:v>site 1 s3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'field measurements'!$B$3:$B$9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'field measurements'!$E$3:$E$9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5</c:v>
                </c:pt>
                <c:pt idx="5">
                  <c:v>6</c:v>
                </c:pt>
                <c:pt idx="6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B3-4201-8E0F-A31F0D695999}"/>
            </c:ext>
          </c:extLst>
        </c:ser>
        <c:ser>
          <c:idx val="0"/>
          <c:order val="3"/>
          <c:tx>
            <c:strRef>
              <c:f>'field measurements'!$I$2</c:f>
              <c:strCache>
                <c:ptCount val="1"/>
                <c:pt idx="0">
                  <c:v>site 4 s1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'field measurements'!$B$4:$B$9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'field measurements'!$I$4:$I$9</c:f>
              <c:numCache>
                <c:formatCode>General</c:formatCode>
                <c:ptCount val="6"/>
                <c:pt idx="0">
                  <c:v>3</c:v>
                </c:pt>
                <c:pt idx="1">
                  <c:v>2</c:v>
                </c:pt>
                <c:pt idx="2">
                  <c:v>6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B3-4201-8E0F-A31F0D695999}"/>
            </c:ext>
          </c:extLst>
        </c:ser>
        <c:ser>
          <c:idx val="4"/>
          <c:order val="4"/>
          <c:tx>
            <c:strRef>
              <c:f>'field measurements'!$K$2</c:f>
              <c:strCache>
                <c:ptCount val="1"/>
                <c:pt idx="0">
                  <c:v>site 4 s3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'field measurements'!$B$3:$B$9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'field measurements'!$K$3:$K$9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EB3-4201-8E0F-A31F0D695999}"/>
            </c:ext>
          </c:extLst>
        </c:ser>
        <c:ser>
          <c:idx val="5"/>
          <c:order val="5"/>
          <c:tx>
            <c:strRef>
              <c:f>'field measurements'!$L$2</c:f>
              <c:strCache>
                <c:ptCount val="1"/>
                <c:pt idx="0">
                  <c:v>site 5 s1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'field measurements'!$B$3:$B$9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'field measurements'!$L$3:$L$9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7</c:v>
                </c:pt>
                <c:pt idx="3">
                  <c:v>6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EB3-4201-8E0F-A31F0D695999}"/>
            </c:ext>
          </c:extLst>
        </c:ser>
        <c:ser>
          <c:idx val="6"/>
          <c:order val="6"/>
          <c:tx>
            <c:strRef>
              <c:f>'field measurements'!$M$2</c:f>
              <c:strCache>
                <c:ptCount val="1"/>
                <c:pt idx="0">
                  <c:v>site 5 s2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'field measurements'!$B$3:$B$9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'field measurements'!$M$3:$M$9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EB3-4201-8E0F-A31F0D695999}"/>
            </c:ext>
          </c:extLst>
        </c:ser>
        <c:ser>
          <c:idx val="7"/>
          <c:order val="7"/>
          <c:tx>
            <c:strRef>
              <c:f>'field measurements'!$N$2</c:f>
              <c:strCache>
                <c:ptCount val="1"/>
                <c:pt idx="0">
                  <c:v>site 5 s3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'field measurements'!$B$3:$B$9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'field measurements'!$N$3:$N$9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6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EB3-4201-8E0F-A31F0D695999}"/>
            </c:ext>
          </c:extLst>
        </c:ser>
        <c:ser>
          <c:idx val="8"/>
          <c:order val="8"/>
          <c:tx>
            <c:strRef>
              <c:f>'field measurements'!$P$2</c:f>
              <c:strCache>
                <c:ptCount val="1"/>
                <c:pt idx="0">
                  <c:v>site 6 s2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'field measurements'!$B$3:$B$9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'field measurements'!$P$3:$P$9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EB3-4201-8E0F-A31F0D695999}"/>
            </c:ext>
          </c:extLst>
        </c:ser>
        <c:ser>
          <c:idx val="9"/>
          <c:order val="9"/>
          <c:tx>
            <c:strRef>
              <c:f>'field measurements'!$Q$2</c:f>
              <c:strCache>
                <c:ptCount val="1"/>
                <c:pt idx="0">
                  <c:v>site 6 s3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'field measurements'!$B$3:$B$9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'field measurements'!$Q$3:$Q$9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EB3-4201-8E0F-A31F0D695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468911"/>
        <c:axId val="1165461711"/>
      </c:scatterChart>
      <c:valAx>
        <c:axId val="116546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</a:t>
                </a:r>
                <a:r>
                  <a:rPr lang="en-US" baseline="0"/>
                  <a:t> Class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461711"/>
        <c:crosses val="autoZero"/>
        <c:crossBetween val="midCat"/>
        <c:majorUnit val="1"/>
      </c:valAx>
      <c:valAx>
        <c:axId val="116546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468911"/>
        <c:crossesAt val="0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34689413823257"/>
          <c:y val="0.12871463983668707"/>
          <c:w val="0.14889990371665524"/>
          <c:h val="0.605978019426932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Cummulative Volumes of Brule Creek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'field measurements'!$C$2</c:f>
              <c:strCache>
                <c:ptCount val="1"/>
                <c:pt idx="0">
                  <c:v>site 1 s1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'field measurements'!$B$3:$B$9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'field measurements'!$C$21:$C$27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8</c:v>
                </c:pt>
                <c:pt idx="4">
                  <c:v>13</c:v>
                </c:pt>
                <c:pt idx="5">
                  <c:v>19</c:v>
                </c:pt>
                <c:pt idx="6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E0-4B90-B2CC-4AFAD002274F}"/>
            </c:ext>
          </c:extLst>
        </c:ser>
        <c:ser>
          <c:idx val="2"/>
          <c:order val="1"/>
          <c:tx>
            <c:strRef>
              <c:f>'field measurements'!$D$2</c:f>
              <c:strCache>
                <c:ptCount val="1"/>
                <c:pt idx="0">
                  <c:v>site 1 s2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'field measurements'!$B$3:$B$9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'field measurements'!$D$21:$D$27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6</c:v>
                </c:pt>
                <c:pt idx="4">
                  <c:v>12</c:v>
                </c:pt>
                <c:pt idx="5">
                  <c:v>19</c:v>
                </c:pt>
                <c:pt idx="6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E0-4B90-B2CC-4AFAD002274F}"/>
            </c:ext>
          </c:extLst>
        </c:ser>
        <c:ser>
          <c:idx val="3"/>
          <c:order val="2"/>
          <c:tx>
            <c:strRef>
              <c:f>'field measurements'!$E$2</c:f>
              <c:strCache>
                <c:ptCount val="1"/>
                <c:pt idx="0">
                  <c:v>site 1 s3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'field measurements'!$B$3:$B$9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'field measurements'!$E$21:$E$27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7</c:v>
                </c:pt>
                <c:pt idx="5">
                  <c:v>13</c:v>
                </c:pt>
                <c:pt idx="6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E0-4B90-B2CC-4AFAD002274F}"/>
            </c:ext>
          </c:extLst>
        </c:ser>
        <c:ser>
          <c:idx val="0"/>
          <c:order val="3"/>
          <c:tx>
            <c:strRef>
              <c:f>'field measurements'!$I$2</c:f>
              <c:strCache>
                <c:ptCount val="1"/>
                <c:pt idx="0">
                  <c:v>site 4 s1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'field measurements'!$B$4:$B$9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'field measurements'!$I$21:$I$27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11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E0-4B90-B2CC-4AFAD002274F}"/>
            </c:ext>
          </c:extLst>
        </c:ser>
        <c:ser>
          <c:idx val="4"/>
          <c:order val="4"/>
          <c:tx>
            <c:strRef>
              <c:f>'field measurements'!$K$2</c:f>
              <c:strCache>
                <c:ptCount val="1"/>
                <c:pt idx="0">
                  <c:v>site 4 s3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'field measurements'!$B$3:$B$9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'field measurements'!$K$21:$K$27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10</c:v>
                </c:pt>
                <c:pt idx="3">
                  <c:v>15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E0-4B90-B2CC-4AFAD002274F}"/>
            </c:ext>
          </c:extLst>
        </c:ser>
        <c:ser>
          <c:idx val="5"/>
          <c:order val="5"/>
          <c:tx>
            <c:strRef>
              <c:f>'field measurements'!$L$2</c:f>
              <c:strCache>
                <c:ptCount val="1"/>
                <c:pt idx="0">
                  <c:v>site 5 s1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'field measurements'!$B$3:$B$9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'field measurements'!$L$21:$L$27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12</c:v>
                </c:pt>
                <c:pt idx="3">
                  <c:v>18</c:v>
                </c:pt>
                <c:pt idx="4">
                  <c:v>20</c:v>
                </c:pt>
                <c:pt idx="5">
                  <c:v>21</c:v>
                </c:pt>
                <c:pt idx="6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E0-4B90-B2CC-4AFAD002274F}"/>
            </c:ext>
          </c:extLst>
        </c:ser>
        <c:ser>
          <c:idx val="6"/>
          <c:order val="6"/>
          <c:tx>
            <c:strRef>
              <c:f>'field measurements'!$M$2</c:f>
              <c:strCache>
                <c:ptCount val="1"/>
                <c:pt idx="0">
                  <c:v>site 5 s2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'field measurements'!$B$3:$B$9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'field measurements'!$M$21:$M$27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E0-4B90-B2CC-4AFAD002274F}"/>
            </c:ext>
          </c:extLst>
        </c:ser>
        <c:ser>
          <c:idx val="7"/>
          <c:order val="7"/>
          <c:tx>
            <c:strRef>
              <c:f>'field measurements'!$N$2</c:f>
              <c:strCache>
                <c:ptCount val="1"/>
                <c:pt idx="0">
                  <c:v>site 5 s3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'field measurements'!$B$3:$B$9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'field measurements'!$N$21:$N$27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9</c:v>
                </c:pt>
                <c:pt idx="3">
                  <c:v>15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E0-4B90-B2CC-4AFAD002274F}"/>
            </c:ext>
          </c:extLst>
        </c:ser>
        <c:ser>
          <c:idx val="8"/>
          <c:order val="8"/>
          <c:tx>
            <c:strRef>
              <c:f>'field measurements'!$P$2</c:f>
              <c:strCache>
                <c:ptCount val="1"/>
                <c:pt idx="0">
                  <c:v>site 6 s2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'field measurements'!$B$3:$B$9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'field measurements'!$P$21:$P$27</c:f>
              <c:numCache>
                <c:formatCode>General</c:formatCode>
                <c:ptCount val="7"/>
                <c:pt idx="0">
                  <c:v>0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7</c:v>
                </c:pt>
                <c:pt idx="5">
                  <c:v>9</c:v>
                </c:pt>
                <c:pt idx="6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CE0-4B90-B2CC-4AFAD002274F}"/>
            </c:ext>
          </c:extLst>
        </c:ser>
        <c:ser>
          <c:idx val="9"/>
          <c:order val="9"/>
          <c:tx>
            <c:strRef>
              <c:f>'field measurements'!$Q$2</c:f>
              <c:strCache>
                <c:ptCount val="1"/>
                <c:pt idx="0">
                  <c:v>site 6 s3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'field measurements'!$B$3:$B$9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'field measurements'!$Q$21:$Q$27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10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CE0-4B90-B2CC-4AFAD00227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468911"/>
        <c:axId val="1165461711"/>
      </c:scatterChart>
      <c:valAx>
        <c:axId val="1165468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Size</a:t>
                </a:r>
                <a:r>
                  <a:rPr lang="en-US" baseline="0"/>
                  <a:t> Class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461711"/>
        <c:crosses val="autoZero"/>
        <c:crossBetween val="midCat"/>
        <c:majorUnit val="1"/>
      </c:valAx>
      <c:valAx>
        <c:axId val="1165461711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5468911"/>
        <c:crossesAt val="0"/>
        <c:crossBetween val="midCat"/>
        <c:majorUnit val="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34689413823257"/>
          <c:y val="0.12871463983668707"/>
          <c:w val="0.17643088363954507"/>
          <c:h val="0.7384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446484</xdr:colOff>
      <xdr:row>2</xdr:row>
      <xdr:rowOff>122039</xdr:rowOff>
    </xdr:from>
    <xdr:to>
      <xdr:col>32</xdr:col>
      <xdr:colOff>29765</xdr:colOff>
      <xdr:row>19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41E90E-09C0-3D90-5E2B-357D66BCAF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509587</xdr:colOff>
      <xdr:row>19</xdr:row>
      <xdr:rowOff>144860</xdr:rowOff>
    </xdr:from>
    <xdr:to>
      <xdr:col>31</xdr:col>
      <xdr:colOff>447145</xdr:colOff>
      <xdr:row>36</xdr:row>
      <xdr:rowOff>64892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A6CFC7-3FD6-4C33-B21A-387DF7ABDB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7BB81-8D59-4D92-8145-160F2246B564}">
  <dimension ref="A1:P5"/>
  <sheetViews>
    <sheetView tabSelected="1" workbookViewId="0">
      <selection activeCell="J17" sqref="J17"/>
    </sheetView>
  </sheetViews>
  <sheetFormatPr defaultRowHeight="12.75" x14ac:dyDescent="0.2"/>
  <sheetData>
    <row r="1" spans="1:16" x14ac:dyDescent="0.2">
      <c r="A1" s="31"/>
      <c r="B1" s="24" t="s">
        <v>4</v>
      </c>
      <c r="C1" s="24" t="s">
        <v>5</v>
      </c>
      <c r="D1" s="24" t="s">
        <v>6</v>
      </c>
      <c r="E1" s="26" t="s">
        <v>7</v>
      </c>
      <c r="F1" s="26" t="s">
        <v>8</v>
      </c>
      <c r="G1" s="26" t="s">
        <v>9</v>
      </c>
      <c r="H1" s="24" t="s">
        <v>10</v>
      </c>
      <c r="I1" s="26" t="s">
        <v>11</v>
      </c>
      <c r="J1" s="24" t="s">
        <v>12</v>
      </c>
      <c r="K1" s="24" t="s">
        <v>13</v>
      </c>
      <c r="L1" s="24" t="s">
        <v>14</v>
      </c>
      <c r="M1" s="24" t="s">
        <v>15</v>
      </c>
      <c r="N1" s="26" t="s">
        <v>40</v>
      </c>
      <c r="O1" s="24" t="s">
        <v>17</v>
      </c>
      <c r="P1" s="24" t="s">
        <v>18</v>
      </c>
    </row>
    <row r="2" spans="1:16" x14ac:dyDescent="0.2">
      <c r="A2" s="32" t="s">
        <v>32</v>
      </c>
      <c r="B2">
        <v>4.0000000000000009</v>
      </c>
      <c r="C2">
        <v>5.559672879369348</v>
      </c>
      <c r="D2">
        <v>10.374716437208079</v>
      </c>
      <c r="E2">
        <v>0.13273854948587835</v>
      </c>
      <c r="F2">
        <v>0.45019953936221174</v>
      </c>
      <c r="G2">
        <v>0.3002305128297767</v>
      </c>
      <c r="H2">
        <v>2.3510958125672174</v>
      </c>
      <c r="I2">
        <v>0.42660952450873091</v>
      </c>
      <c r="J2">
        <v>2.3173886189245545</v>
      </c>
      <c r="K2">
        <v>2.3133763678105748</v>
      </c>
      <c r="L2">
        <v>2.7320805135087913</v>
      </c>
      <c r="M2">
        <v>2.4622888266898326</v>
      </c>
      <c r="N2">
        <v>0.22988402111619632</v>
      </c>
      <c r="O2">
        <v>2.244924096618746</v>
      </c>
      <c r="P2">
        <v>2.238449855256202</v>
      </c>
    </row>
    <row r="3" spans="1:16" x14ac:dyDescent="0.2">
      <c r="A3" s="32" t="s">
        <v>33</v>
      </c>
      <c r="B3">
        <v>6.6499031691423029</v>
      </c>
      <c r="C3">
        <v>9.5798296369514304</v>
      </c>
      <c r="D3">
        <v>16.912288648982091</v>
      </c>
      <c r="E3">
        <v>0.25351833710921662</v>
      </c>
      <c r="F3">
        <v>1.0479659302398521</v>
      </c>
      <c r="G3">
        <v>0.58179212098357969</v>
      </c>
      <c r="H3">
        <v>3.3558230990730014</v>
      </c>
      <c r="I3">
        <v>0.7366819973292954</v>
      </c>
      <c r="J3">
        <v>3.2042795103584885</v>
      </c>
      <c r="K3">
        <v>3.186560385142331</v>
      </c>
      <c r="L3">
        <v>4.6589343458738233</v>
      </c>
      <c r="M3">
        <v>3.8906197896491439</v>
      </c>
      <c r="N3">
        <v>0.31001722904481149</v>
      </c>
      <c r="O3">
        <v>2.8945384748807563</v>
      </c>
      <c r="P3">
        <v>2.8679104960316546</v>
      </c>
    </row>
    <row r="4" spans="1:16" x14ac:dyDescent="0.2">
      <c r="A4" s="32" t="s">
        <v>34</v>
      </c>
      <c r="B4">
        <v>21.112126572366318</v>
      </c>
      <c r="C4">
        <v>23.972913230026919</v>
      </c>
      <c r="D4">
        <v>33.902819019497471</v>
      </c>
      <c r="E4">
        <v>0.42863783497979607</v>
      </c>
      <c r="F4">
        <v>3.5889492275897346</v>
      </c>
      <c r="G4">
        <v>2.2176134227120619</v>
      </c>
      <c r="H4">
        <v>10.079368399158989</v>
      </c>
      <c r="I4">
        <v>2.4133595290526699</v>
      </c>
      <c r="J4">
        <v>6.7271713220297169</v>
      </c>
      <c r="K4">
        <v>6.8957825699758226</v>
      </c>
      <c r="L4">
        <v>11.313708498984765</v>
      </c>
      <c r="M4">
        <v>8.0000000000000018</v>
      </c>
      <c r="N4">
        <v>0.61300254714022717</v>
      </c>
      <c r="O4">
        <v>8.0000000000000018</v>
      </c>
      <c r="P4">
        <v>5.3393594166801375</v>
      </c>
    </row>
    <row r="5" spans="1:16" x14ac:dyDescent="0.2">
      <c r="A5" s="32" t="s">
        <v>35</v>
      </c>
      <c r="B5">
        <v>49.636632378679515</v>
      </c>
      <c r="C5">
        <v>47.363844574169185</v>
      </c>
      <c r="D5">
        <v>61.10986265026667</v>
      </c>
      <c r="E5">
        <v>1.9187574199791948</v>
      </c>
      <c r="F5">
        <v>6.2809332460038707</v>
      </c>
      <c r="G5">
        <v>5.6091348635157861</v>
      </c>
      <c r="H5">
        <v>19.071327096377384</v>
      </c>
      <c r="I5">
        <v>5.8181494437983723</v>
      </c>
      <c r="J5">
        <v>14.480103406126492</v>
      </c>
      <c r="K5">
        <v>15.348225909204231</v>
      </c>
      <c r="L5">
        <v>54.948187932016239</v>
      </c>
      <c r="M5">
        <v>16.449821226497058</v>
      </c>
      <c r="N5">
        <v>1.5370657567846981</v>
      </c>
      <c r="O5">
        <v>51.984153366799099</v>
      </c>
      <c r="P5">
        <v>9.8947733872754977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56"/>
  <sheetViews>
    <sheetView topLeftCell="A19" zoomScale="80" zoomScaleNormal="80" workbookViewId="0">
      <selection activeCell="C2" sqref="C2:Q2"/>
    </sheetView>
  </sheetViews>
  <sheetFormatPr defaultColWidth="12.5703125" defaultRowHeight="15.75" customHeight="1" x14ac:dyDescent="0.2"/>
  <cols>
    <col min="1" max="1" width="15" customWidth="1"/>
  </cols>
  <sheetData>
    <row r="1" spans="1:17" x14ac:dyDescent="0.2">
      <c r="A1" s="7" t="s">
        <v>0</v>
      </c>
      <c r="B1" s="8"/>
      <c r="C1" s="7" t="s">
        <v>1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2">
      <c r="A2" s="1" t="s">
        <v>2</v>
      </c>
      <c r="B2" s="2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</row>
    <row r="3" spans="1:17" x14ac:dyDescent="0.2">
      <c r="A3" s="1"/>
      <c r="B3" s="2">
        <v>0</v>
      </c>
      <c r="C3" s="3">
        <v>0</v>
      </c>
      <c r="D3" s="3">
        <v>0</v>
      </c>
      <c r="E3" s="3">
        <v>0</v>
      </c>
      <c r="F3" s="3"/>
      <c r="G3" s="3"/>
      <c r="H3" s="3"/>
      <c r="I3" s="3">
        <v>0</v>
      </c>
      <c r="J3" s="3"/>
      <c r="K3" s="3">
        <v>0</v>
      </c>
      <c r="L3" s="3">
        <v>0</v>
      </c>
      <c r="M3" s="3">
        <v>0</v>
      </c>
      <c r="N3" s="3">
        <v>0</v>
      </c>
      <c r="O3" s="3"/>
      <c r="P3" s="3">
        <v>0</v>
      </c>
      <c r="Q3" s="3">
        <v>0</v>
      </c>
    </row>
    <row r="4" spans="1:17" x14ac:dyDescent="0.2">
      <c r="A4" s="1" t="s">
        <v>19</v>
      </c>
      <c r="B4" s="2">
        <v>1</v>
      </c>
      <c r="C4" s="3">
        <v>1</v>
      </c>
      <c r="D4" s="3">
        <v>0</v>
      </c>
      <c r="E4" s="3">
        <v>0</v>
      </c>
      <c r="F4" s="3" t="s">
        <v>20</v>
      </c>
      <c r="G4" s="3" t="s">
        <v>20</v>
      </c>
      <c r="H4" s="3" t="s">
        <v>20</v>
      </c>
      <c r="I4" s="3">
        <v>3</v>
      </c>
      <c r="J4" s="3" t="s">
        <v>20</v>
      </c>
      <c r="K4" s="3">
        <v>4</v>
      </c>
      <c r="L4" s="3">
        <v>5</v>
      </c>
      <c r="M4" s="3">
        <v>1</v>
      </c>
      <c r="N4" s="3">
        <v>3</v>
      </c>
      <c r="O4" s="3" t="s">
        <v>20</v>
      </c>
      <c r="P4" s="3">
        <v>3</v>
      </c>
      <c r="Q4" s="3">
        <v>4</v>
      </c>
    </row>
    <row r="5" spans="1:17" x14ac:dyDescent="0.2">
      <c r="A5" s="4">
        <v>46057</v>
      </c>
      <c r="B5" s="2">
        <v>2</v>
      </c>
      <c r="C5" s="3">
        <v>3</v>
      </c>
      <c r="D5" s="3">
        <v>2</v>
      </c>
      <c r="E5" s="3">
        <v>0</v>
      </c>
      <c r="I5" s="3">
        <v>2</v>
      </c>
      <c r="K5" s="3">
        <v>6</v>
      </c>
      <c r="L5" s="3">
        <v>7</v>
      </c>
      <c r="M5" s="3">
        <v>2</v>
      </c>
      <c r="N5" s="3">
        <v>6</v>
      </c>
      <c r="P5" s="3">
        <v>2</v>
      </c>
      <c r="Q5" s="3">
        <v>6</v>
      </c>
    </row>
    <row r="6" spans="1:17" x14ac:dyDescent="0.2">
      <c r="A6" s="4">
        <v>46120</v>
      </c>
      <c r="B6" s="2">
        <v>3</v>
      </c>
      <c r="C6" s="3">
        <v>4</v>
      </c>
      <c r="D6" s="3">
        <v>4</v>
      </c>
      <c r="E6" s="3">
        <v>2</v>
      </c>
      <c r="I6" s="3">
        <v>6</v>
      </c>
      <c r="K6" s="3">
        <v>5</v>
      </c>
      <c r="L6" s="3">
        <v>6</v>
      </c>
      <c r="M6" s="3">
        <v>3</v>
      </c>
      <c r="N6" s="3">
        <v>6</v>
      </c>
      <c r="P6" s="3">
        <v>2</v>
      </c>
      <c r="Q6" s="3">
        <v>3</v>
      </c>
    </row>
    <row r="7" spans="1:17" x14ac:dyDescent="0.2">
      <c r="A7" s="4">
        <v>46250</v>
      </c>
      <c r="B7" s="2">
        <v>4</v>
      </c>
      <c r="C7" s="3">
        <v>5</v>
      </c>
      <c r="D7" s="3">
        <v>6</v>
      </c>
      <c r="E7" s="3">
        <v>5</v>
      </c>
      <c r="I7" s="3">
        <v>3</v>
      </c>
      <c r="K7" s="3">
        <v>2</v>
      </c>
      <c r="L7" s="3">
        <v>2</v>
      </c>
      <c r="M7" s="3">
        <v>0</v>
      </c>
      <c r="N7" s="3">
        <v>3</v>
      </c>
      <c r="P7" s="3">
        <v>0</v>
      </c>
      <c r="Q7" s="3">
        <v>0</v>
      </c>
    </row>
    <row r="8" spans="1:17" x14ac:dyDescent="0.2">
      <c r="A8" s="1" t="s">
        <v>21</v>
      </c>
      <c r="B8" s="2">
        <v>5</v>
      </c>
      <c r="C8" s="3">
        <v>6</v>
      </c>
      <c r="D8" s="3">
        <v>7</v>
      </c>
      <c r="E8" s="3">
        <v>6</v>
      </c>
      <c r="I8" s="3">
        <v>0</v>
      </c>
      <c r="K8" s="3">
        <v>0</v>
      </c>
      <c r="L8" s="3">
        <v>1</v>
      </c>
      <c r="M8" s="3">
        <v>2</v>
      </c>
      <c r="N8" s="3">
        <v>0</v>
      </c>
      <c r="P8" s="3">
        <v>2</v>
      </c>
      <c r="Q8" s="3">
        <v>0</v>
      </c>
    </row>
    <row r="9" spans="1:17" x14ac:dyDescent="0.2">
      <c r="A9" s="1" t="s">
        <v>22</v>
      </c>
      <c r="B9" s="2">
        <v>6</v>
      </c>
      <c r="C9" s="3">
        <v>1</v>
      </c>
      <c r="D9" s="3">
        <v>0</v>
      </c>
      <c r="E9" s="3">
        <v>2</v>
      </c>
      <c r="I9" s="3">
        <v>0</v>
      </c>
      <c r="K9" s="3">
        <v>0</v>
      </c>
      <c r="L9" s="3">
        <v>0</v>
      </c>
      <c r="M9" s="3">
        <v>1</v>
      </c>
      <c r="N9" s="3">
        <v>0</v>
      </c>
      <c r="P9" s="3">
        <v>1</v>
      </c>
      <c r="Q9" s="3">
        <v>0</v>
      </c>
    </row>
    <row r="10" spans="1:17" x14ac:dyDescent="0.2">
      <c r="A10" s="1" t="s">
        <v>23</v>
      </c>
      <c r="B10" s="2">
        <v>7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x14ac:dyDescent="0.2">
      <c r="A11" s="1" t="s">
        <v>24</v>
      </c>
      <c r="B11" s="2">
        <v>8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x14ac:dyDescent="0.2">
      <c r="A12" s="1" t="s">
        <v>25</v>
      </c>
      <c r="B12" s="2">
        <v>9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x14ac:dyDescent="0.2">
      <c r="A13" s="1" t="s">
        <v>26</v>
      </c>
      <c r="B13" s="2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x14ac:dyDescent="0.2">
      <c r="A14" s="1" t="s">
        <v>27</v>
      </c>
      <c r="B14" s="2">
        <v>11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x14ac:dyDescent="0.2">
      <c r="A15" s="1" t="s">
        <v>28</v>
      </c>
      <c r="B15" s="2">
        <v>12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x14ac:dyDescent="0.2">
      <c r="A16" s="1" t="s">
        <v>29</v>
      </c>
      <c r="B16" s="2">
        <v>13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x14ac:dyDescent="0.2">
      <c r="A17" s="10" t="s">
        <v>30</v>
      </c>
      <c r="B17" s="11"/>
      <c r="C17" s="5">
        <f>SUM(C3:C9)</f>
        <v>20</v>
      </c>
      <c r="D17">
        <f>SUM(D3:D9)</f>
        <v>19</v>
      </c>
      <c r="E17">
        <f>SUM(E3:E9)</f>
        <v>15</v>
      </c>
      <c r="I17">
        <f>SUM(I3:I9)</f>
        <v>14</v>
      </c>
      <c r="K17">
        <f>SUM(K3:K16)</f>
        <v>17</v>
      </c>
      <c r="L17">
        <f>SUM(L3:L9)</f>
        <v>21</v>
      </c>
      <c r="M17">
        <f>SUM(M3:M9)</f>
        <v>9</v>
      </c>
      <c r="N17">
        <f>SUM(N3:N9)</f>
        <v>18</v>
      </c>
      <c r="P17">
        <f>SUM(P3:P9)</f>
        <v>10</v>
      </c>
      <c r="Q17">
        <f>SUM(Q3:Q9)</f>
        <v>13</v>
      </c>
    </row>
    <row r="19" spans="1:17" x14ac:dyDescent="0.2">
      <c r="A19" s="3" t="s">
        <v>31</v>
      </c>
      <c r="C19" s="7" t="s">
        <v>1</v>
      </c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 x14ac:dyDescent="0.2">
      <c r="A20" s="1" t="s">
        <v>55</v>
      </c>
      <c r="B20" s="2" t="s">
        <v>3</v>
      </c>
      <c r="C20" s="3" t="s">
        <v>4</v>
      </c>
      <c r="D20" s="3" t="s">
        <v>5</v>
      </c>
      <c r="E20" s="3" t="s">
        <v>6</v>
      </c>
      <c r="F20" s="3" t="s">
        <v>7</v>
      </c>
      <c r="G20" s="3" t="s">
        <v>8</v>
      </c>
      <c r="H20" s="3" t="s">
        <v>9</v>
      </c>
      <c r="I20" s="3" t="s">
        <v>10</v>
      </c>
      <c r="J20" s="3" t="s">
        <v>11</v>
      </c>
      <c r="K20" s="3" t="s">
        <v>12</v>
      </c>
      <c r="L20" s="3" t="s">
        <v>13</v>
      </c>
      <c r="M20" s="3" t="s">
        <v>14</v>
      </c>
      <c r="N20" s="3" t="s">
        <v>15</v>
      </c>
      <c r="O20" s="3" t="s">
        <v>16</v>
      </c>
      <c r="P20" s="3" t="s">
        <v>17</v>
      </c>
      <c r="Q20" s="3" t="s">
        <v>18</v>
      </c>
    </row>
    <row r="21" spans="1:17" x14ac:dyDescent="0.2">
      <c r="A21">
        <v>0</v>
      </c>
      <c r="B21" s="2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>
        <v>0</v>
      </c>
      <c r="J21" s="3"/>
      <c r="K21" s="3">
        <v>0</v>
      </c>
      <c r="L21" s="3">
        <v>0</v>
      </c>
      <c r="M21" s="3">
        <v>0</v>
      </c>
      <c r="N21" s="3">
        <v>0</v>
      </c>
      <c r="O21" s="3"/>
      <c r="P21" s="3">
        <v>0</v>
      </c>
      <c r="Q21" s="3">
        <v>0</v>
      </c>
    </row>
    <row r="22" spans="1:17" x14ac:dyDescent="0.2">
      <c r="A22">
        <v>2</v>
      </c>
      <c r="B22" s="2">
        <v>1</v>
      </c>
      <c r="C22" s="3">
        <f>C4</f>
        <v>1</v>
      </c>
      <c r="D22" s="3">
        <f>D4</f>
        <v>0</v>
      </c>
      <c r="E22" s="3">
        <f>E4</f>
        <v>0</v>
      </c>
      <c r="I22" s="3">
        <f>I4</f>
        <v>3</v>
      </c>
      <c r="K22" s="3">
        <f>K4</f>
        <v>4</v>
      </c>
      <c r="L22" s="3">
        <f>L4</f>
        <v>5</v>
      </c>
      <c r="M22" s="3">
        <f>M4</f>
        <v>1</v>
      </c>
      <c r="N22" s="3">
        <f>N4</f>
        <v>3</v>
      </c>
      <c r="P22" s="3">
        <f>P4</f>
        <v>3</v>
      </c>
      <c r="Q22" s="3">
        <f>Q4</f>
        <v>4</v>
      </c>
    </row>
    <row r="23" spans="1:17" x14ac:dyDescent="0.2">
      <c r="A23">
        <v>4</v>
      </c>
      <c r="B23" s="2">
        <v>2</v>
      </c>
      <c r="C23" s="3">
        <f>C5+C22</f>
        <v>4</v>
      </c>
      <c r="D23" s="3">
        <f>D5+D22</f>
        <v>2</v>
      </c>
      <c r="E23" s="3">
        <f>E5+E22</f>
        <v>0</v>
      </c>
      <c r="I23" s="3">
        <f>I5+I22</f>
        <v>5</v>
      </c>
      <c r="K23" s="3">
        <f>K5+K22</f>
        <v>10</v>
      </c>
      <c r="L23" s="3">
        <f>L5+L22</f>
        <v>12</v>
      </c>
      <c r="M23" s="3">
        <f>M5+M22</f>
        <v>3</v>
      </c>
      <c r="N23" s="3">
        <f>N5+N22</f>
        <v>9</v>
      </c>
      <c r="P23" s="3">
        <f>P5+P22</f>
        <v>5</v>
      </c>
      <c r="Q23" s="3">
        <f>Q5+Q22</f>
        <v>10</v>
      </c>
    </row>
    <row r="24" spans="1:17" x14ac:dyDescent="0.2">
      <c r="A24">
        <v>8</v>
      </c>
      <c r="B24" s="2">
        <v>3</v>
      </c>
      <c r="C24" s="3">
        <f>C6+C23</f>
        <v>8</v>
      </c>
      <c r="D24" s="3">
        <f>D6+D23</f>
        <v>6</v>
      </c>
      <c r="E24" s="3">
        <f>E6+E23</f>
        <v>2</v>
      </c>
      <c r="I24" s="3">
        <f>I6+I23</f>
        <v>11</v>
      </c>
      <c r="K24" s="3">
        <f>K6+K23</f>
        <v>15</v>
      </c>
      <c r="L24" s="3">
        <f>L6+L23</f>
        <v>18</v>
      </c>
      <c r="M24" s="3">
        <f>M6+M23</f>
        <v>6</v>
      </c>
      <c r="N24" s="3">
        <f>N6+N23</f>
        <v>15</v>
      </c>
      <c r="P24" s="3">
        <f>P6+P23</f>
        <v>7</v>
      </c>
      <c r="Q24" s="3">
        <f>Q6+Q23</f>
        <v>13</v>
      </c>
    </row>
    <row r="25" spans="1:17" x14ac:dyDescent="0.2">
      <c r="A25">
        <v>16</v>
      </c>
      <c r="B25" s="2">
        <v>4</v>
      </c>
      <c r="C25" s="3">
        <f>C7+C24</f>
        <v>13</v>
      </c>
      <c r="D25" s="3">
        <f>D7+D24</f>
        <v>12</v>
      </c>
      <c r="E25" s="3">
        <f>E7+E24</f>
        <v>7</v>
      </c>
      <c r="I25" s="3">
        <f>I7+I24</f>
        <v>14</v>
      </c>
      <c r="K25" s="3">
        <f>K7+K24</f>
        <v>17</v>
      </c>
      <c r="L25" s="3">
        <f>L7+L24</f>
        <v>20</v>
      </c>
      <c r="M25" s="3">
        <f>M7+M24</f>
        <v>6</v>
      </c>
      <c r="N25" s="3">
        <f>N7+N24</f>
        <v>18</v>
      </c>
      <c r="P25" s="3">
        <f>P7+P24</f>
        <v>7</v>
      </c>
      <c r="Q25" s="3">
        <f>Q7+Q24</f>
        <v>13</v>
      </c>
    </row>
    <row r="26" spans="1:17" x14ac:dyDescent="0.2">
      <c r="A26">
        <v>32</v>
      </c>
      <c r="B26" s="2">
        <v>5</v>
      </c>
      <c r="C26" s="3">
        <f>C8+C25</f>
        <v>19</v>
      </c>
      <c r="D26" s="3">
        <f>D8+D25</f>
        <v>19</v>
      </c>
      <c r="E26" s="3">
        <f>E8+E25</f>
        <v>13</v>
      </c>
      <c r="I26" s="3">
        <f>I8+I25</f>
        <v>14</v>
      </c>
      <c r="K26" s="3">
        <f>K8+K25</f>
        <v>17</v>
      </c>
      <c r="L26" s="3">
        <f>L8+L25</f>
        <v>21</v>
      </c>
      <c r="M26" s="3">
        <f>M8+M25</f>
        <v>8</v>
      </c>
      <c r="N26" s="3">
        <f>N8+N25</f>
        <v>18</v>
      </c>
      <c r="P26" s="3">
        <f>P8+P25</f>
        <v>9</v>
      </c>
      <c r="Q26" s="3">
        <f>Q8+Q25</f>
        <v>13</v>
      </c>
    </row>
    <row r="27" spans="1:17" x14ac:dyDescent="0.2">
      <c r="A27">
        <v>64</v>
      </c>
      <c r="B27" s="2">
        <v>6</v>
      </c>
      <c r="C27" s="3">
        <f>C9+C26</f>
        <v>20</v>
      </c>
      <c r="D27" s="3">
        <f>D9+D26</f>
        <v>19</v>
      </c>
      <c r="E27" s="3">
        <f>E9+E26</f>
        <v>15</v>
      </c>
      <c r="I27" s="3">
        <f>I9+I26</f>
        <v>14</v>
      </c>
      <c r="K27" s="3">
        <f>K9+K26</f>
        <v>17</v>
      </c>
      <c r="L27" s="3">
        <f>L9+L26</f>
        <v>21</v>
      </c>
      <c r="M27" s="3">
        <f>M9+M26</f>
        <v>9</v>
      </c>
      <c r="N27" s="3">
        <f>N9+N26</f>
        <v>18</v>
      </c>
      <c r="P27" s="3">
        <f>P9+P26</f>
        <v>10</v>
      </c>
      <c r="Q27" s="3">
        <f>Q9+Q26</f>
        <v>13</v>
      </c>
    </row>
    <row r="29" spans="1:17" ht="15.75" customHeight="1" x14ac:dyDescent="0.2">
      <c r="A29" t="s">
        <v>54</v>
      </c>
    </row>
    <row r="30" spans="1:17" x14ac:dyDescent="0.2">
      <c r="A30" s="1" t="s">
        <v>2</v>
      </c>
      <c r="B30" s="2" t="s">
        <v>3</v>
      </c>
    </row>
    <row r="31" spans="1:17" x14ac:dyDescent="0.2">
      <c r="A31" s="1"/>
      <c r="B31" s="2">
        <v>0</v>
      </c>
      <c r="C31">
        <f>C21/C17*100</f>
        <v>0</v>
      </c>
      <c r="D31">
        <f>D21/D17*100</f>
        <v>0</v>
      </c>
      <c r="E31">
        <f>E21/E17*100</f>
        <v>0</v>
      </c>
      <c r="I31">
        <f>I21/I17*100</f>
        <v>0</v>
      </c>
      <c r="K31">
        <f>K21/K17*100</f>
        <v>0</v>
      </c>
      <c r="L31">
        <f>L21/L17*100</f>
        <v>0</v>
      </c>
      <c r="M31">
        <f>M21/M17*100</f>
        <v>0</v>
      </c>
      <c r="N31">
        <f>N21/N17*100</f>
        <v>0</v>
      </c>
      <c r="P31">
        <f>P21/P17*100</f>
        <v>0</v>
      </c>
      <c r="Q31">
        <f>Q21/Q17*100</f>
        <v>0</v>
      </c>
    </row>
    <row r="32" spans="1:17" x14ac:dyDescent="0.2">
      <c r="A32" s="1" t="s">
        <v>19</v>
      </c>
      <c r="B32" s="2">
        <v>1</v>
      </c>
      <c r="C32">
        <f>C22/C17*100</f>
        <v>5</v>
      </c>
      <c r="D32">
        <f>D22/D17*100</f>
        <v>0</v>
      </c>
      <c r="E32">
        <f>E22/E17*100</f>
        <v>0</v>
      </c>
      <c r="I32">
        <f>I22/I17*100</f>
        <v>21.428571428571427</v>
      </c>
      <c r="K32">
        <f>K22/K17*100</f>
        <v>23.52941176470588</v>
      </c>
      <c r="L32">
        <f>L22/L17*100</f>
        <v>23.809523809523807</v>
      </c>
      <c r="M32">
        <f>M22/M17*100</f>
        <v>11.111111111111111</v>
      </c>
      <c r="N32">
        <f>N22/N17*100</f>
        <v>16.666666666666664</v>
      </c>
      <c r="P32">
        <f>P22/P17*100</f>
        <v>30</v>
      </c>
      <c r="Q32">
        <f>Q22/Q17*100</f>
        <v>30.76923076923077</v>
      </c>
    </row>
    <row r="33" spans="1:17" x14ac:dyDescent="0.2">
      <c r="A33" s="4">
        <v>46057</v>
      </c>
      <c r="B33" s="2">
        <v>2</v>
      </c>
      <c r="C33">
        <f>C23/C17*100</f>
        <v>20</v>
      </c>
      <c r="D33">
        <f>D23/D17*100</f>
        <v>10.526315789473683</v>
      </c>
      <c r="E33">
        <f>E23/E17*100</f>
        <v>0</v>
      </c>
      <c r="I33">
        <f>I23/I17*100</f>
        <v>35.714285714285715</v>
      </c>
      <c r="K33">
        <f>K23/K17*100</f>
        <v>58.82352941176471</v>
      </c>
      <c r="L33">
        <f>L23/L17*100</f>
        <v>57.142857142857139</v>
      </c>
      <c r="M33">
        <f>M23/M17*100</f>
        <v>33.333333333333329</v>
      </c>
      <c r="N33">
        <f>N23/N17*100</f>
        <v>50</v>
      </c>
      <c r="P33">
        <f>P23/P17*100</f>
        <v>50</v>
      </c>
      <c r="Q33">
        <f>Q23/Q17*100</f>
        <v>76.923076923076934</v>
      </c>
    </row>
    <row r="34" spans="1:17" x14ac:dyDescent="0.2">
      <c r="A34" s="4">
        <v>46120</v>
      </c>
      <c r="B34" s="2">
        <v>3</v>
      </c>
      <c r="C34">
        <f>C24/C17*100</f>
        <v>40</v>
      </c>
      <c r="D34">
        <f>D24/D17*100</f>
        <v>31.578947368421051</v>
      </c>
      <c r="E34">
        <f>E24/E17*100</f>
        <v>13.333333333333334</v>
      </c>
      <c r="I34">
        <f>I24/I17*100</f>
        <v>78.571428571428569</v>
      </c>
      <c r="K34">
        <f>K24/K17*100</f>
        <v>88.235294117647058</v>
      </c>
      <c r="L34">
        <f>L24/L17*100</f>
        <v>85.714285714285708</v>
      </c>
      <c r="M34">
        <f>M24/M17*100</f>
        <v>66.666666666666657</v>
      </c>
      <c r="N34">
        <f>N24/N17*100</f>
        <v>83.333333333333343</v>
      </c>
      <c r="P34">
        <f>P24/P17*100</f>
        <v>70</v>
      </c>
      <c r="Q34">
        <f>Q24/Q17*100</f>
        <v>100</v>
      </c>
    </row>
    <row r="35" spans="1:17" x14ac:dyDescent="0.2">
      <c r="A35" s="4">
        <v>46250</v>
      </c>
      <c r="B35" s="2">
        <v>4</v>
      </c>
      <c r="C35">
        <f>C25/C17*100</f>
        <v>65</v>
      </c>
      <c r="D35">
        <f>D25/D17*100</f>
        <v>63.157894736842103</v>
      </c>
      <c r="E35">
        <f>E25/E17*100</f>
        <v>46.666666666666664</v>
      </c>
      <c r="I35">
        <f>I25/I17*100</f>
        <v>100</v>
      </c>
      <c r="K35">
        <f>K25/K17*100</f>
        <v>100</v>
      </c>
      <c r="L35">
        <f>L25/L17*100</f>
        <v>95.238095238095227</v>
      </c>
      <c r="M35">
        <f>M25/M17*100</f>
        <v>66.666666666666657</v>
      </c>
      <c r="N35">
        <f>N25/N17*100</f>
        <v>100</v>
      </c>
      <c r="P35">
        <f>P25/P17*100</f>
        <v>70</v>
      </c>
      <c r="Q35">
        <f>Q25/Q17*100</f>
        <v>100</v>
      </c>
    </row>
    <row r="36" spans="1:17" ht="15.75" customHeight="1" x14ac:dyDescent="0.2">
      <c r="A36" s="1" t="s">
        <v>21</v>
      </c>
      <c r="B36" s="2">
        <v>5</v>
      </c>
      <c r="C36">
        <f>C26/C17*100</f>
        <v>95</v>
      </c>
      <c r="D36">
        <f>D26/D17*100</f>
        <v>100</v>
      </c>
      <c r="E36">
        <f>E26/E17*100</f>
        <v>86.666666666666671</v>
      </c>
      <c r="I36">
        <f>I26/I17*100</f>
        <v>100</v>
      </c>
      <c r="K36">
        <f>K26/K17*100</f>
        <v>100</v>
      </c>
      <c r="L36">
        <f>L26/L17*100</f>
        <v>100</v>
      </c>
      <c r="M36">
        <f>M26/M17*100</f>
        <v>88.888888888888886</v>
      </c>
      <c r="N36">
        <f>N26/N17*100</f>
        <v>100</v>
      </c>
      <c r="P36">
        <f>P26/P17*100</f>
        <v>90</v>
      </c>
      <c r="Q36">
        <f>Q26/Q17*100</f>
        <v>100</v>
      </c>
    </row>
    <row r="37" spans="1:17" ht="15.75" customHeight="1" x14ac:dyDescent="0.2">
      <c r="A37" s="1" t="s">
        <v>22</v>
      </c>
      <c r="B37" s="2">
        <v>6</v>
      </c>
      <c r="C37">
        <f>C27/C17*100</f>
        <v>100</v>
      </c>
      <c r="D37">
        <f>D27/D17*100</f>
        <v>100</v>
      </c>
      <c r="E37">
        <f>E27/E17*100</f>
        <v>100</v>
      </c>
      <c r="I37">
        <f>I27/I17*100</f>
        <v>100</v>
      </c>
      <c r="K37">
        <f>K27/K17*100</f>
        <v>100</v>
      </c>
      <c r="L37">
        <f>L27/L17*100</f>
        <v>100</v>
      </c>
      <c r="M37">
        <f>M27/M17*100</f>
        <v>100</v>
      </c>
      <c r="N37">
        <f>N27/N17*100</f>
        <v>100</v>
      </c>
      <c r="P37">
        <f>P27/P17*100</f>
        <v>100</v>
      </c>
      <c r="Q37">
        <f>Q27/Q17*100</f>
        <v>100</v>
      </c>
    </row>
    <row r="38" spans="1:17" ht="15.75" customHeight="1" thickBot="1" x14ac:dyDescent="0.25"/>
    <row r="39" spans="1:17" ht="15.75" customHeight="1" x14ac:dyDescent="0.2">
      <c r="A39" s="13" t="s">
        <v>32</v>
      </c>
      <c r="B39" s="14">
        <v>5</v>
      </c>
      <c r="C39" s="15" cm="1">
        <f t="array" ref="C39">10^(LOG10(INDEX($A$22:$A$27, MATCH($B39, C$31:C$37, 1))) +
  ($B39 - INDEX(C$31:C$37, MATCH($B39, C$31:C$37, 1))) /
  (INDEX(C$31:C$37, MATCH($B39, C$31:C$37, 1)+1) - INDEX(C$31:C$37, MATCH($B39, C$31:C$37, 1))) *
  (LOG10(INDEX($A$22:$A$27, MATCH($B39, C$31:C$37, 1)+1)) -LOG10(INDEX($A$22:$A$27, MATCH($B39, C$31:C$37, 1))))
)</f>
        <v>4.0000000000000009</v>
      </c>
      <c r="D39" s="15" cm="1">
        <f t="array" ref="D39">10^(LOG10(INDEX($A$22:$A$27, MATCH($B39, D$31:D$37, 1))) +
  ($B39 - INDEX(D$31:D$37, MATCH($B39, D$31:D$37, 1))) /
  (INDEX(D$31:D$37, MATCH($B39, D$31:D$37, 1)+1) - INDEX(D$31:D$37, MATCH($B39, D$31:D$37, 1))) *
  (LOG10(INDEX($A$22:$A$27, MATCH($B39, D$31:D$37, 1)+1)) -LOG10(INDEX($A$22:$A$27, MATCH($B39, D$31:D$37, 1))))
)</f>
        <v>5.559672879369348</v>
      </c>
      <c r="E39" s="15" cm="1">
        <f t="array" ref="E39">10^(LOG10(INDEX($A$22:$A$27, MATCH($B39, E$31:E$37, 1))) +
  ($B39 - INDEX(E$31:E$37, MATCH($B39, E$31:E$37, 1))) /
  (INDEX(E$31:E$37, MATCH($B39, E$31:E$37, 1)+1) - INDEX(E$31:E$37, MATCH($B39, E$31:E$37, 1))) *
  (LOG10(INDEX($A$22:$A$27, MATCH($B39, E$31:E$37, 1)+1)) -LOG10(INDEX($A$22:$A$27, MATCH($B39, E$31:E$37, 1))))
)</f>
        <v>10.374716437208079</v>
      </c>
      <c r="F39" s="15"/>
      <c r="G39" s="15"/>
      <c r="H39" s="15"/>
      <c r="I39" s="15" cm="1">
        <f t="array" ref="I39">10^(LOG10(INDEX($A$22:$A$27, MATCH($B39, I$31:I$37, 1))) +
  ($B39 - INDEX(I$31:I$37, MATCH($B39, I$31:I$37, 1))) /
  (INDEX(I$31:I$37, MATCH($B39, I$31:I$37, 1)+1) - INDEX(I$31:I$37, MATCH($B39, I$31:I$37, 1))) *
  (LOG10(INDEX($A$22:$A$27, MATCH($B39, I$31:I$37, 1)+1)) -LOG10(INDEX($A$22:$A$27, MATCH($B39, I$31:I$37, 1))))
)</f>
        <v>2.3510958125672174</v>
      </c>
      <c r="J39" s="15"/>
      <c r="K39" s="15" cm="1">
        <f t="array" ref="K39">10^(LOG10(INDEX($A$22:$A$27, MATCH($B39, K$31:K$37, 1))) +
  ($B39 - INDEX(K$31:K$37, MATCH($B39, K$31:K$37, 1))) /
  (INDEX(K$31:K$37, MATCH($B39, K$31:K$37, 1)+1) - INDEX(K$31:K$37, MATCH($B39, K$31:K$37, 1))) *
  (LOG10(INDEX($A$22:$A$27, MATCH($B39, K$31:K$37, 1)+1)) -LOG10(INDEX($A$22:$A$27, MATCH($B39, K$31:K$37, 1))))
)</f>
        <v>2.3173886189245545</v>
      </c>
      <c r="L39" s="15" cm="1">
        <f t="array" ref="L39">10^(LOG10(INDEX($A$22:$A$27, MATCH($B39, L$31:L$37, 1))) +
  ($B39 - INDEX(L$31:L$37, MATCH($B39, L$31:L$37, 1))) /
  (INDEX(L$31:L$37, MATCH($B39, L$31:L$37, 1)+1) - INDEX(L$31:L$37, MATCH($B39, L$31:L$37, 1))) *
  (LOG10(INDEX($A$22:$A$27, MATCH($B39, L$31:L$37, 1)+1)) -LOG10(INDEX($A$22:$A$27, MATCH($B39, L$31:L$37, 1))))
)</f>
        <v>2.3133763678105748</v>
      </c>
      <c r="M39" s="15" cm="1">
        <f t="array" ref="M39">10^(LOG10(INDEX($A$22:$A$27, MATCH($B39, M$31:M$37, 1))) +
  ($B39 - INDEX(M$31:M$37, MATCH($B39, M$31:M$37, 1))) /
  (INDEX(M$31:M$37, MATCH($B39, M$31:M$37, 1)+1) - INDEX(M$31:M$37, MATCH($B39, M$31:M$37, 1))) *
  (LOG10(INDEX($A$22:$A$27, MATCH($B39, M$31:M$37, 1)+1)) -LOG10(INDEX($A$22:$A$27, MATCH($B39, M$31:M$37, 1))))
)</f>
        <v>2.7320805135087913</v>
      </c>
      <c r="N39" s="15" cm="1">
        <f t="array" ref="N39">10^(LOG10(INDEX($A$22:$A$27, MATCH($B39, N$31:N$37, 1))) +
  ($B39 - INDEX(N$31:N$37, MATCH($B39, N$31:N$37, 1))) /
  (INDEX(N$31:N$37, MATCH($B39, N$31:N$37, 1)+1) - INDEX(N$31:N$37, MATCH($B39, N$31:N$37, 1))) *
  (LOG10(INDEX($A$22:$A$27, MATCH($B39, N$31:N$37, 1)+1)) -LOG10(INDEX($A$22:$A$27, MATCH($B39, N$31:N$37, 1))))
)</f>
        <v>2.4622888266898326</v>
      </c>
      <c r="O39" s="15"/>
      <c r="P39" s="15" cm="1">
        <f t="array" ref="P39">10^(LOG10(INDEX($A$22:$A$27, MATCH($B39, P$31:P$37, 1))) +
  ($B39 - INDEX(P$31:P$37, MATCH($B39, P$31:P$37, 1))) /
  (INDEX(P$31:P$37, MATCH($B39, P$31:P$37, 1)+1) - INDEX(P$31:P$37, MATCH($B39, P$31:P$37, 1))) *
  (LOG10(INDEX($A$22:$A$27, MATCH($B39, P$31:P$37, 1)+1)) -LOG10(INDEX($A$22:$A$27, MATCH($B39, P$31:P$37, 1))))
)</f>
        <v>2.244924096618746</v>
      </c>
      <c r="Q39" s="16" cm="1">
        <f t="array" ref="Q39">10^(LOG10(INDEX($A$22:$A$27, MATCH($B39, Q$31:Q$37, 1))) +
  ($B39 - INDEX(Q$31:Q$37, MATCH($B39, Q$31:Q$37, 1))) /
  (INDEX(Q$31:Q$37, MATCH($B39, Q$31:Q$37, 1)+1) - INDEX(Q$31:Q$37, MATCH($B39, Q$31:Q$37, 1))) *
  (LOG10(INDEX($A$22:$A$27, MATCH($B39, Q$31:Q$37, 1)+1)) -LOG10(INDEX($A$22:$A$27, MATCH($B39, Q$31:Q$37, 1))))
)</f>
        <v>2.238449855256202</v>
      </c>
    </row>
    <row r="40" spans="1:17" ht="15.75" customHeight="1" x14ac:dyDescent="0.2">
      <c r="A40" s="17" t="s">
        <v>33</v>
      </c>
      <c r="B40" s="12">
        <v>16</v>
      </c>
      <c r="C40" s="18" cm="1">
        <f t="array" ref="C40">10^(LOG10(INDEX($A$22:$A$27, MATCH($B40, C$31:C$37, 1))) +
  ($B40 - INDEX(C$31:C$37, MATCH($B40, C$31:C$37, 1))) /
  (INDEX(C$31:C$37, MATCH($B40, C$31:C$37, 1)+1) - INDEX(C$31:C$37, MATCH($B40, C$31:C$37, 1))) *
  (LOG10(INDEX($A$22:$A$27, MATCH($B40, C$31:C$37, 1)+1)) -LOG10(INDEX($A$22:$A$27, MATCH($B40, C$31:C$37, 1))))
)</f>
        <v>6.6499031691423029</v>
      </c>
      <c r="D40" s="18" cm="1">
        <f t="array" ref="D40">10^(LOG10(INDEX($A$22:$A$27, MATCH($B40, D$31:D$37, 1))) +
  ($B40 - INDEX(D$31:D$37, MATCH($B40, D$31:D$37, 1))) /
  (INDEX(D$31:D$37, MATCH($B40, D$31:D$37, 1)+1) - INDEX(D$31:D$37, MATCH($B40, D$31:D$37, 1))) *
  (LOG10(INDEX($A$22:$A$27, MATCH($B40, D$31:D$37, 1)+1)) -LOG10(INDEX($A$22:$A$27, MATCH($B40, D$31:D$37, 1))))
)</f>
        <v>9.5798296369514304</v>
      </c>
      <c r="E40" s="18" cm="1">
        <f t="array" ref="E40">10^(LOG10(INDEX($A$22:$A$27, MATCH($B40, E$31:E$37, 1))) +
  ($B40 - INDEX(E$31:E$37, MATCH($B40, E$31:E$37, 1))) /
  (INDEX(E$31:E$37, MATCH($B40, E$31:E$37, 1)+1) - INDEX(E$31:E$37, MATCH($B40, E$31:E$37, 1))) *
  (LOG10(INDEX($A$22:$A$27, MATCH($B40, E$31:E$37, 1)+1)) -LOG10(INDEX($A$22:$A$27, MATCH($B40, E$31:E$37, 1))))
)</f>
        <v>16.912288648982091</v>
      </c>
      <c r="F40" s="18"/>
      <c r="G40" s="18"/>
      <c r="H40" s="18"/>
      <c r="I40" s="18" cm="1">
        <f t="array" ref="I40">10^(LOG10(INDEX($A$22:$A$27, MATCH($B40, I$31:I$37, 1))) +
  ($B40 - INDEX(I$31:I$37, MATCH($B40, I$31:I$37, 1))) /
  (INDEX(I$31:I$37, MATCH($B40, I$31:I$37, 1)+1) - INDEX(I$31:I$37, MATCH($B40, I$31:I$37, 1))) *
  (LOG10(INDEX($A$22:$A$27, MATCH($B40, I$31:I$37, 1)+1)) -LOG10(INDEX($A$22:$A$27, MATCH($B40, I$31:I$37, 1))))
)</f>
        <v>3.3558230990730014</v>
      </c>
      <c r="J40" s="18"/>
      <c r="K40" s="18" cm="1">
        <f t="array" ref="K40">10^(LOG10(INDEX($A$22:$A$27, MATCH($B40, K$31:K$37, 1))) +
  ($B40 - INDEX(K$31:K$37, MATCH($B40, K$31:K$37, 1))) /
  (INDEX(K$31:K$37, MATCH($B40, K$31:K$37, 1)+1) - INDEX(K$31:K$37, MATCH($B40, K$31:K$37, 1))) *
  (LOG10(INDEX($A$22:$A$27, MATCH($B40, K$31:K$37, 1)+1)) -LOG10(INDEX($A$22:$A$27, MATCH($B40, K$31:K$37, 1))))
)</f>
        <v>3.2042795103584885</v>
      </c>
      <c r="L40" s="18" cm="1">
        <f t="array" ref="L40">10^(LOG10(INDEX($A$22:$A$27, MATCH($B40, L$31:L$37, 1))) +
  ($B40 - INDEX(L$31:L$37, MATCH($B40, L$31:L$37, 1))) /
  (INDEX(L$31:L$37, MATCH($B40, L$31:L$37, 1)+1) - INDEX(L$31:L$37, MATCH($B40, L$31:L$37, 1))) *
  (LOG10(INDEX($A$22:$A$27, MATCH($B40, L$31:L$37, 1)+1)) -LOG10(INDEX($A$22:$A$27, MATCH($B40, L$31:L$37, 1))))
)</f>
        <v>3.186560385142331</v>
      </c>
      <c r="M40" s="18" cm="1">
        <f t="array" ref="M40">10^(LOG10(INDEX($A$22:$A$27, MATCH($B40, M$31:M$37, 1))) +
  ($B40 - INDEX(M$31:M$37, MATCH($B40, M$31:M$37, 1))) /
  (INDEX(M$31:M$37, MATCH($B40, M$31:M$37, 1)+1) - INDEX(M$31:M$37, MATCH($B40, M$31:M$37, 1))) *
  (LOG10(INDEX($A$22:$A$27, MATCH($B40, M$31:M$37, 1)+1)) -LOG10(INDEX($A$22:$A$27, MATCH($B40, M$31:M$37, 1))))
)</f>
        <v>4.6589343458738233</v>
      </c>
      <c r="N40" s="18" cm="1">
        <f t="array" ref="N40">10^(LOG10(INDEX($A$22:$A$27, MATCH($B40, N$31:N$37, 1))) +
  ($B40 - INDEX(N$31:N$37, MATCH($B40, N$31:N$37, 1))) /
  (INDEX(N$31:N$37, MATCH($B40, N$31:N$37, 1)+1) - INDEX(N$31:N$37, MATCH($B40, N$31:N$37, 1))) *
  (LOG10(INDEX($A$22:$A$27, MATCH($B40, N$31:N$37, 1)+1)) -LOG10(INDEX($A$22:$A$27, MATCH($B40, N$31:N$37, 1))))
)</f>
        <v>3.8906197896491439</v>
      </c>
      <c r="O40" s="18"/>
      <c r="P40" s="18" cm="1">
        <f t="array" ref="P40">10^(LOG10(INDEX($A$22:$A$27, MATCH($B40, P$31:P$37, 1))) +
  ($B40 - INDEX(P$31:P$37, MATCH($B40, P$31:P$37, 1))) /
  (INDEX(P$31:P$37, MATCH($B40, P$31:P$37, 1)+1) - INDEX(P$31:P$37, MATCH($B40, P$31:P$37, 1))) *
  (LOG10(INDEX($A$22:$A$27, MATCH($B40, P$31:P$37, 1)+1)) -LOG10(INDEX($A$22:$A$27, MATCH($B40, P$31:P$37, 1))))
)</f>
        <v>2.8945384748807563</v>
      </c>
      <c r="Q40" s="19" cm="1">
        <f t="array" ref="Q40">10^(LOG10(INDEX($A$22:$A$27, MATCH($B40, Q$31:Q$37, 1))) +
  ($B40 - INDEX(Q$31:Q$37, MATCH($B40, Q$31:Q$37, 1))) /
  (INDEX(Q$31:Q$37, MATCH($B40, Q$31:Q$37, 1)+1) - INDEX(Q$31:Q$37, MATCH($B40, Q$31:Q$37, 1))) *
  (LOG10(INDEX($A$22:$A$27, MATCH($B40, Q$31:Q$37, 1)+1)) -LOG10(INDEX($A$22:$A$27, MATCH($B40, Q$31:Q$37, 1))))
)</f>
        <v>2.8679104960316546</v>
      </c>
    </row>
    <row r="41" spans="1:17" ht="15.75" customHeight="1" x14ac:dyDescent="0.2">
      <c r="A41" s="17" t="s">
        <v>34</v>
      </c>
      <c r="B41" s="12">
        <v>50</v>
      </c>
      <c r="C41" s="18" cm="1">
        <f t="array" ref="C41">10^(LOG10(INDEX($A$22:$A$27, MATCH($B41, C$31:C$37, 1))) +
  ($B41 - INDEX(C$31:C$37, MATCH($B41, C$31:C$37, 1))) /
  (INDEX(C$31:C$37, MATCH($B41, C$31:C$37, 1)+1) - INDEX(C$31:C$37, MATCH($B41, C$31:C$37, 1))) *
  (LOG10(INDEX($A$22:$A$27, MATCH($B41, C$31:C$37, 1)+1)) -LOG10(INDEX($A$22:$A$27, MATCH($B41, C$31:C$37, 1))))
)</f>
        <v>21.112126572366318</v>
      </c>
      <c r="D41" s="18" cm="1">
        <f t="array" ref="D41">10^(LOG10(INDEX($A$22:$A$27, MATCH($B41, D$31:D$37, 1))) +
  ($B41 - INDEX(D$31:D$37, MATCH($B41, D$31:D$37, 1))) /
  (INDEX(D$31:D$37, MATCH($B41, D$31:D$37, 1)+1) - INDEX(D$31:D$37, MATCH($B41, D$31:D$37, 1))) *
  (LOG10(INDEX($A$22:$A$27, MATCH($B41, D$31:D$37, 1)+1)) -LOG10(INDEX($A$22:$A$27, MATCH($B41, D$31:D$37, 1))))
)</f>
        <v>23.972913230026919</v>
      </c>
      <c r="E41" s="18" cm="1">
        <f t="array" ref="E41">10^(LOG10(INDEX($A$22:$A$27, MATCH($B41, E$31:E$37, 1))) +
  ($B41 - INDEX(E$31:E$37, MATCH($B41, E$31:E$37, 1))) /
  (INDEX(E$31:E$37, MATCH($B41, E$31:E$37, 1)+1) - INDEX(E$31:E$37, MATCH($B41, E$31:E$37, 1))) *
  (LOG10(INDEX($A$22:$A$27, MATCH($B41, E$31:E$37, 1)+1)) -LOG10(INDEX($A$22:$A$27, MATCH($B41, E$31:E$37, 1))))
)</f>
        <v>33.902819019497471</v>
      </c>
      <c r="F41" s="18"/>
      <c r="G41" s="18"/>
      <c r="H41" s="18"/>
      <c r="I41" s="18" cm="1">
        <f t="array" ref="I41">10^(LOG10(INDEX($A$22:$A$27, MATCH($B41, I$31:I$37, 1))) +
  ($B41 - INDEX(I$31:I$37, MATCH($B41, I$31:I$37, 1))) /
  (INDEX(I$31:I$37, MATCH($B41, I$31:I$37, 1)+1) - INDEX(I$31:I$37, MATCH($B41, I$31:I$37, 1))) *
  (LOG10(INDEX($A$22:$A$27, MATCH($B41, I$31:I$37, 1)+1)) -LOG10(INDEX($A$22:$A$27, MATCH($B41, I$31:I$37, 1))))
)</f>
        <v>10.079368399158989</v>
      </c>
      <c r="J41" s="18"/>
      <c r="K41" s="18" cm="1">
        <f t="array" ref="K41">10^(LOG10(INDEX($A$22:$A$27, MATCH($B41, K$31:K$37, 1))) +
  ($B41 - INDEX(K$31:K$37, MATCH($B41, K$31:K$37, 1))) /
  (INDEX(K$31:K$37, MATCH($B41, K$31:K$37, 1)+1) - INDEX(K$31:K$37, MATCH($B41, K$31:K$37, 1))) *
  (LOG10(INDEX($A$22:$A$27, MATCH($B41, K$31:K$37, 1)+1)) -LOG10(INDEX($A$22:$A$27, MATCH($B41, K$31:K$37, 1))))
)</f>
        <v>6.7271713220297169</v>
      </c>
      <c r="L41" s="18" cm="1">
        <f t="array" ref="L41">10^(LOG10(INDEX($A$22:$A$27, MATCH($B41, L$31:L$37, 1))) +
  ($B41 - INDEX(L$31:L$37, MATCH($B41, L$31:L$37, 1))) /
  (INDEX(L$31:L$37, MATCH($B41, L$31:L$37, 1)+1) - INDEX(L$31:L$37, MATCH($B41, L$31:L$37, 1))) *
  (LOG10(INDEX($A$22:$A$27, MATCH($B41, L$31:L$37, 1)+1)) -LOG10(INDEX($A$22:$A$27, MATCH($B41, L$31:L$37, 1))))
)</f>
        <v>6.8957825699758226</v>
      </c>
      <c r="M41" s="18" cm="1">
        <f t="array" ref="M41">10^(LOG10(INDEX($A$22:$A$27, MATCH($B41, M$31:M$37, 1))) +
  ($B41 - INDEX(M$31:M$37, MATCH($B41, M$31:M$37, 1))) /
  (INDEX(M$31:M$37, MATCH($B41, M$31:M$37, 1)+1) - INDEX(M$31:M$37, MATCH($B41, M$31:M$37, 1))) *
  (LOG10(INDEX($A$22:$A$27, MATCH($B41, M$31:M$37, 1)+1)) -LOG10(INDEX($A$22:$A$27, MATCH($B41, M$31:M$37, 1))))
)</f>
        <v>11.313708498984765</v>
      </c>
      <c r="N41" s="18" cm="1">
        <f t="array" ref="N41">10^(LOG10(INDEX($A$22:$A$27, MATCH($B41, N$31:N$37, 1))) +
  ($B41 - INDEX(N$31:N$37, MATCH($B41, N$31:N$37, 1))) /
  (INDEX(N$31:N$37, MATCH($B41, N$31:N$37, 1)+1) - INDEX(N$31:N$37, MATCH($B41, N$31:N$37, 1))) *
  (LOG10(INDEX($A$22:$A$27, MATCH($B41, N$31:N$37, 1)+1)) -LOG10(INDEX($A$22:$A$27, MATCH($B41, N$31:N$37, 1))))
)</f>
        <v>8.0000000000000018</v>
      </c>
      <c r="O41" s="18"/>
      <c r="P41" s="18" cm="1">
        <f t="array" ref="P41">10^(LOG10(INDEX($A$22:$A$27, MATCH($B41, P$31:P$37, 1))) +
  ($B41 - INDEX(P$31:P$37, MATCH($B41, P$31:P$37, 1))) /
  (INDEX(P$31:P$37, MATCH($B41, P$31:P$37, 1)+1) - INDEX(P$31:P$37, MATCH($B41, P$31:P$37, 1))) *
  (LOG10(INDEX($A$22:$A$27, MATCH($B41, P$31:P$37, 1)+1)) -LOG10(INDEX($A$22:$A$27, MATCH($B41, P$31:P$37, 1))))
)</f>
        <v>8.0000000000000018</v>
      </c>
      <c r="Q41" s="19" cm="1">
        <f t="array" ref="Q41">10^(LOG10(INDEX($A$22:$A$27, MATCH($B41, Q$31:Q$37, 1))) +
  ($B41 - INDEX(Q$31:Q$37, MATCH($B41, Q$31:Q$37, 1))) /
  (INDEX(Q$31:Q$37, MATCH($B41, Q$31:Q$37, 1)+1) - INDEX(Q$31:Q$37, MATCH($B41, Q$31:Q$37, 1))) *
  (LOG10(INDEX($A$22:$A$27, MATCH($B41, Q$31:Q$37, 1)+1)) -LOG10(INDEX($A$22:$A$27, MATCH($B41, Q$31:Q$37, 1))))
)</f>
        <v>5.3393594166801375</v>
      </c>
    </row>
    <row r="42" spans="1:17" ht="15.75" customHeight="1" thickBot="1" x14ac:dyDescent="0.25">
      <c r="A42" s="20" t="s">
        <v>35</v>
      </c>
      <c r="B42" s="21">
        <v>84</v>
      </c>
      <c r="C42" s="22" cm="1">
        <f t="array" ref="C42">10^(LOG10(INDEX($A$22:$A$27, MATCH($B42, C$31:C$37, 1))) +
  ($B42 - INDEX(C$31:C$37, MATCH($B42, C$31:C$37, 1))) /
  (INDEX(C$31:C$37, MATCH($B42, C$31:C$37, 1)+1) - INDEX(C$31:C$37, MATCH($B42, C$31:C$37, 1))) *
  (LOG10(INDEX($A$22:$A$27, MATCH($B42, C$31:C$37, 1)+1)) -LOG10(INDEX($A$22:$A$27, MATCH($B42, C$31:C$37, 1))))
)</f>
        <v>49.636632378679515</v>
      </c>
      <c r="D42" s="22" cm="1">
        <f t="array" ref="D42">10^(LOG10(INDEX($A$22:$A$27, MATCH($B42, D$31:D$37, 1))) +
  ($B42 - INDEX(D$31:D$37, MATCH($B42, D$31:D$37, 1))) /
  (INDEX(D$31:D$37, MATCH($B42, D$31:D$37, 1)+1) - INDEX(D$31:D$37, MATCH($B42, D$31:D$37, 1))) *
  (LOG10(INDEX($A$22:$A$27, MATCH($B42, D$31:D$37, 1)+1)) -LOG10(INDEX($A$22:$A$27, MATCH($B42, D$31:D$37, 1))))
)</f>
        <v>47.363844574169185</v>
      </c>
      <c r="E42" s="22" cm="1">
        <f t="array" ref="E42">10^(LOG10(INDEX($A$22:$A$27, MATCH($B42, E$31:E$37, 1))) +
  ($B42 - INDEX(E$31:E$37, MATCH($B42, E$31:E$37, 1))) /
  (INDEX(E$31:E$37, MATCH($B42, E$31:E$37, 1)+1) - INDEX(E$31:E$37, MATCH($B42, E$31:E$37, 1))) *
  (LOG10(INDEX($A$22:$A$27, MATCH($B42, E$31:E$37, 1)+1)) -LOG10(INDEX($A$22:$A$27, MATCH($B42, E$31:E$37, 1))))
)</f>
        <v>61.10986265026667</v>
      </c>
      <c r="F42" s="22"/>
      <c r="G42" s="22"/>
      <c r="H42" s="22"/>
      <c r="I42" s="22" cm="1">
        <f t="array" ref="I42">10^(LOG10(INDEX($A$22:$A$27, MATCH($B42, I$31:I$37, 1))) +
  ($B42 - INDEX(I$31:I$37, MATCH($B42, I$31:I$37, 1))) /
  (INDEX(I$31:I$37, MATCH($B42, I$31:I$37, 1)+1) - INDEX(I$31:I$37, MATCH($B42, I$31:I$37, 1))) *
  (LOG10(INDEX($A$22:$A$27, MATCH($B42, I$31:I$37, 1)+1)) -LOG10(INDEX($A$22:$A$27, MATCH($B42, I$31:I$37, 1))))
)</f>
        <v>19.071327096377384</v>
      </c>
      <c r="J42" s="22"/>
      <c r="K42" s="22" cm="1">
        <f t="array" ref="K42">10^(LOG10(INDEX($A$22:$A$27, MATCH($B42, K$31:K$37, 1))) +
  ($B42 - INDEX(K$31:K$37, MATCH($B42, K$31:K$37, 1))) /
  (INDEX(K$31:K$37, MATCH($B42, K$31:K$37, 1)+1) - INDEX(K$31:K$37, MATCH($B42, K$31:K$37, 1))) *
  (LOG10(INDEX($A$22:$A$27, MATCH($B42, K$31:K$37, 1)+1)) -LOG10(INDEX($A$22:$A$27, MATCH($B42, K$31:K$37, 1))))
)</f>
        <v>14.480103406126492</v>
      </c>
      <c r="L42" s="22" cm="1">
        <f t="array" ref="L42">10^(LOG10(INDEX($A$22:$A$27, MATCH($B42, L$31:L$37, 1))) +
  ($B42 - INDEX(L$31:L$37, MATCH($B42, L$31:L$37, 1))) /
  (INDEX(L$31:L$37, MATCH($B42, L$31:L$37, 1)+1) - INDEX(L$31:L$37, MATCH($B42, L$31:L$37, 1))) *
  (LOG10(INDEX($A$22:$A$27, MATCH($B42, L$31:L$37, 1)+1)) -LOG10(INDEX($A$22:$A$27, MATCH($B42, L$31:L$37, 1))))
)</f>
        <v>15.348225909204231</v>
      </c>
      <c r="M42" s="22" cm="1">
        <f t="array" ref="M42">10^(LOG10(INDEX($A$22:$A$27, MATCH($B42, M$31:M$37, 1))) +
  ($B42 - INDEX(M$31:M$37, MATCH($B42, M$31:M$37, 1))) /
  (INDEX(M$31:M$37, MATCH($B42, M$31:M$37, 1)+1) - INDEX(M$31:M$37, MATCH($B42, M$31:M$37, 1))) *
  (LOG10(INDEX($A$22:$A$27, MATCH($B42, M$31:M$37, 1)+1)) -LOG10(INDEX($A$22:$A$27, MATCH($B42, M$31:M$37, 1))))
)</f>
        <v>54.948187932016239</v>
      </c>
      <c r="N42" s="22" cm="1">
        <f t="array" ref="N42">10^(LOG10(INDEX($A$22:$A$27, MATCH($B42, N$31:N$37, 1))) +
  ($B42 - INDEX(N$31:N$37, MATCH($B42, N$31:N$37, 1))) /
  (INDEX(N$31:N$37, MATCH($B42, N$31:N$37, 1)+1) - INDEX(N$31:N$37, MATCH($B42, N$31:N$37, 1))) *
  (LOG10(INDEX($A$22:$A$27, MATCH($B42, N$31:N$37, 1)+1)) -LOG10(INDEX($A$22:$A$27, MATCH($B42, N$31:N$37, 1))))
)</f>
        <v>16.449821226497058</v>
      </c>
      <c r="O42" s="22"/>
      <c r="P42" s="22" cm="1">
        <f t="array" ref="P42">10^(LOG10(INDEX($A$22:$A$27, MATCH($B42, P$31:P$37, 1))) +
  ($B42 - INDEX(P$31:P$37, MATCH($B42, P$31:P$37, 1))) /
  (INDEX(P$31:P$37, MATCH($B42, P$31:P$37, 1)+1) - INDEX(P$31:P$37, MATCH($B42, P$31:P$37, 1))) *
  (LOG10(INDEX($A$22:$A$27, MATCH($B42, P$31:P$37, 1)+1)) -LOG10(INDEX($A$22:$A$27, MATCH($B42, P$31:P$37, 1))))
)</f>
        <v>51.984153366799099</v>
      </c>
      <c r="Q42" s="23" cm="1">
        <f t="array" ref="Q42">10^(LOG10(INDEX($A$22:$A$27, MATCH($B42, Q$31:Q$37, 1))) +
  ($B42 - INDEX(Q$31:Q$37, MATCH($B42, Q$31:Q$37, 1))) /
  (INDEX(Q$31:Q$37, MATCH($B42, Q$31:Q$37, 1)+1) - INDEX(Q$31:Q$37, MATCH($B42, Q$31:Q$37, 1))) *
  (LOG10(INDEX($A$22:$A$27, MATCH($B42, Q$31:Q$37, 1)+1)) -LOG10(INDEX($A$22:$A$27, MATCH($B42, Q$31:Q$37, 1))))
)</f>
        <v>9.8947733872754977</v>
      </c>
    </row>
    <row r="53" x14ac:dyDescent="0.2"/>
    <row r="54" x14ac:dyDescent="0.2"/>
    <row r="55" x14ac:dyDescent="0.2"/>
    <row r="56" x14ac:dyDescent="0.2"/>
  </sheetData>
  <mergeCells count="4">
    <mergeCell ref="A1:B1"/>
    <mergeCell ref="C1:Q1"/>
    <mergeCell ref="A17:B17"/>
    <mergeCell ref="C19:Q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63"/>
  <sheetViews>
    <sheetView topLeftCell="A33" zoomScale="80" zoomScaleNormal="80" workbookViewId="0">
      <selection activeCell="B49" sqref="B49:F49"/>
    </sheetView>
  </sheetViews>
  <sheetFormatPr defaultColWidth="12.5703125" defaultRowHeight="15.75" customHeight="1" x14ac:dyDescent="0.2"/>
  <cols>
    <col min="1" max="1" width="22.5703125" bestFit="1" customWidth="1"/>
    <col min="2" max="2" width="15.140625" customWidth="1"/>
  </cols>
  <sheetData>
    <row r="1" spans="1:7" x14ac:dyDescent="0.2">
      <c r="A1" s="3" t="s">
        <v>39</v>
      </c>
      <c r="B1" s="3" t="s">
        <v>8</v>
      </c>
      <c r="C1" s="3" t="s">
        <v>7</v>
      </c>
      <c r="D1" s="3" t="s">
        <v>9</v>
      </c>
      <c r="E1" s="3" t="s">
        <v>11</v>
      </c>
      <c r="F1" s="3" t="s">
        <v>40</v>
      </c>
      <c r="G1" s="3" t="s">
        <v>41</v>
      </c>
    </row>
    <row r="2" spans="1:7" x14ac:dyDescent="0.2">
      <c r="A2" s="3" t="s">
        <v>42</v>
      </c>
      <c r="B2" s="3">
        <v>81.525999999999996</v>
      </c>
      <c r="C2" s="3">
        <v>51.9178</v>
      </c>
      <c r="D2" s="3">
        <v>29.227599999999999</v>
      </c>
      <c r="E2" s="3">
        <v>56.619900000000001</v>
      </c>
      <c r="F2" s="3">
        <v>55.202500000000001</v>
      </c>
    </row>
    <row r="3" spans="1:7" x14ac:dyDescent="0.2">
      <c r="A3" s="3" t="s">
        <v>43</v>
      </c>
      <c r="B3" s="3">
        <v>63.302999999999997</v>
      </c>
      <c r="C3" s="3">
        <v>0.51419999999999999</v>
      </c>
      <c r="D3" s="3">
        <v>3.25</v>
      </c>
      <c r="E3" s="3">
        <v>13.3026</v>
      </c>
      <c r="F3" s="3">
        <v>10.7819</v>
      </c>
    </row>
    <row r="4" spans="1:7" x14ac:dyDescent="0.2">
      <c r="A4" s="26" t="s">
        <v>44</v>
      </c>
      <c r="B4" s="26">
        <v>18.2165</v>
      </c>
      <c r="C4" s="26">
        <v>51.306899999999999</v>
      </c>
      <c r="D4" s="26">
        <v>25.965800000000002</v>
      </c>
      <c r="E4" s="26">
        <v>43.322000000000003</v>
      </c>
      <c r="F4" s="26">
        <v>44.385399999999997</v>
      </c>
      <c r="G4" s="27"/>
    </row>
    <row r="5" spans="1:7" x14ac:dyDescent="0.2">
      <c r="A5" s="3" t="s">
        <v>45</v>
      </c>
      <c r="B5" s="3">
        <v>8.3508999999999993</v>
      </c>
      <c r="C5" s="3">
        <v>3.7595999999999998</v>
      </c>
      <c r="D5" s="3">
        <v>8.1107999999999993</v>
      </c>
      <c r="E5" s="3">
        <v>15.0869</v>
      </c>
      <c r="F5" s="3">
        <v>2.5234000000000001</v>
      </c>
      <c r="G5" s="3">
        <v>4</v>
      </c>
    </row>
    <row r="6" spans="1:7" x14ac:dyDescent="0.2">
      <c r="A6" s="3" t="s">
        <v>46</v>
      </c>
      <c r="B6" s="3">
        <v>4.8411999999999997</v>
      </c>
      <c r="C6" s="3">
        <v>4.2537000000000003</v>
      </c>
      <c r="D6" s="3">
        <v>5.7252000000000001</v>
      </c>
      <c r="E6" s="3">
        <v>9.0184999999999995</v>
      </c>
      <c r="F6" s="3">
        <v>2.3997999999999999</v>
      </c>
      <c r="G6" s="3">
        <v>2</v>
      </c>
    </row>
    <row r="7" spans="1:7" x14ac:dyDescent="0.2">
      <c r="A7" s="3" t="s">
        <v>47</v>
      </c>
      <c r="B7" s="3">
        <v>2.2627000000000002</v>
      </c>
      <c r="C7" s="3">
        <v>3.2728000000000002</v>
      </c>
      <c r="D7" s="3">
        <v>4.4169</v>
      </c>
      <c r="E7" s="3">
        <v>8.9454999999999991</v>
      </c>
      <c r="F7" s="3">
        <v>5.7355</v>
      </c>
      <c r="G7" s="3">
        <v>1</v>
      </c>
    </row>
    <row r="8" spans="1:7" x14ac:dyDescent="0.2">
      <c r="A8" s="3" t="s">
        <v>48</v>
      </c>
      <c r="B8" s="3">
        <v>1.7382</v>
      </c>
      <c r="C8" s="3">
        <v>9.2522000000000002</v>
      </c>
      <c r="D8" s="3">
        <v>4.5537000000000001</v>
      </c>
      <c r="E8" s="3">
        <v>7.5747</v>
      </c>
      <c r="F8" s="3">
        <v>16.336300000000001</v>
      </c>
      <c r="G8" s="3">
        <v>0.5</v>
      </c>
    </row>
    <row r="9" spans="1:7" x14ac:dyDescent="0.2">
      <c r="A9" s="3" t="s">
        <v>49</v>
      </c>
      <c r="B9" s="3">
        <v>0.74439999999999995</v>
      </c>
      <c r="C9" s="3">
        <v>23.023700000000002</v>
      </c>
      <c r="D9" s="3">
        <v>2.5289000000000001</v>
      </c>
      <c r="E9" s="3">
        <v>2.3155999999999999</v>
      </c>
      <c r="F9" s="3">
        <v>14.920299999999999</v>
      </c>
      <c r="G9" s="3">
        <v>0.25</v>
      </c>
    </row>
    <row r="10" spans="1:7" x14ac:dyDescent="0.2">
      <c r="A10" s="3" t="s">
        <v>50</v>
      </c>
      <c r="B10" s="3">
        <v>0.1661</v>
      </c>
      <c r="C10" s="3">
        <v>5.6710000000000003</v>
      </c>
      <c r="D10" s="3">
        <v>0.43680000000000002</v>
      </c>
      <c r="E10" s="3">
        <v>0.28499999999999998</v>
      </c>
      <c r="F10" s="3">
        <v>2.0726</v>
      </c>
      <c r="G10" s="3">
        <v>0.125</v>
      </c>
    </row>
    <row r="11" spans="1:7" x14ac:dyDescent="0.2">
      <c r="A11" s="3" t="s">
        <v>51</v>
      </c>
      <c r="B11" s="3">
        <v>3.5200000000000002E-2</v>
      </c>
      <c r="C11" s="3">
        <v>0.80400000000000005</v>
      </c>
      <c r="D11" s="3">
        <v>5.21E-2</v>
      </c>
      <c r="E11" s="3">
        <v>3.49E-2</v>
      </c>
      <c r="F11" s="6">
        <v>0.21940000000000001</v>
      </c>
      <c r="G11" s="3">
        <v>6.3E-2</v>
      </c>
    </row>
    <row r="12" spans="1:7" x14ac:dyDescent="0.2">
      <c r="A12" s="3" t="s">
        <v>52</v>
      </c>
      <c r="B12" s="3">
        <v>6.0900000000000003E-2</v>
      </c>
      <c r="C12" s="3">
        <v>1.2218</v>
      </c>
      <c r="D12" s="3">
        <v>6.9599999999999995E-2</v>
      </c>
      <c r="E12" s="3">
        <v>5.8999999999999997E-2</v>
      </c>
      <c r="F12" s="6">
        <v>0.16819999999999999</v>
      </c>
      <c r="G12" s="3">
        <v>3.15E-2</v>
      </c>
    </row>
    <row r="14" spans="1:7" x14ac:dyDescent="0.2">
      <c r="A14" s="3" t="s">
        <v>53</v>
      </c>
    </row>
    <row r="15" spans="1:7" x14ac:dyDescent="0.2">
      <c r="A15" s="3">
        <v>4</v>
      </c>
      <c r="B15" s="3">
        <f t="shared" ref="B15:F15" si="0">B5/B4 * 100</f>
        <v>45.84250542090961</v>
      </c>
      <c r="C15" s="3">
        <f t="shared" si="0"/>
        <v>7.3276693778029856</v>
      </c>
      <c r="D15" s="3">
        <f t="shared" si="0"/>
        <v>31.236472590869525</v>
      </c>
      <c r="E15" s="3">
        <f t="shared" si="0"/>
        <v>34.825031161996215</v>
      </c>
      <c r="F15" s="3">
        <f t="shared" si="0"/>
        <v>5.6852027919090515</v>
      </c>
    </row>
    <row r="16" spans="1:7" x14ac:dyDescent="0.2">
      <c r="A16" s="3">
        <v>2</v>
      </c>
      <c r="B16" s="3">
        <f t="shared" ref="B16:F16" si="1">B6/B4 * 100</f>
        <v>26.575906458430541</v>
      </c>
      <c r="C16" s="3">
        <f t="shared" si="1"/>
        <v>8.2906977424089163</v>
      </c>
      <c r="D16" s="3">
        <f t="shared" si="1"/>
        <v>22.049002919224517</v>
      </c>
      <c r="E16" s="3">
        <f t="shared" si="1"/>
        <v>20.817367619223486</v>
      </c>
      <c r="F16" s="3">
        <f t="shared" si="1"/>
        <v>5.4067328445840301</v>
      </c>
    </row>
    <row r="17" spans="1:6" x14ac:dyDescent="0.2">
      <c r="A17" s="3">
        <v>1</v>
      </c>
      <c r="B17" s="3">
        <f t="shared" ref="B17:F17" si="2">B7/B4 * 100</f>
        <v>12.421156643702139</v>
      </c>
      <c r="C17" s="3">
        <f t="shared" si="2"/>
        <v>6.3788691189684039</v>
      </c>
      <c r="D17" s="3">
        <f t="shared" si="2"/>
        <v>17.010452210214975</v>
      </c>
      <c r="E17" s="3">
        <f t="shared" si="2"/>
        <v>20.648862010064168</v>
      </c>
      <c r="F17" s="3">
        <f t="shared" si="2"/>
        <v>12.922041932707604</v>
      </c>
    </row>
    <row r="18" spans="1:6" x14ac:dyDescent="0.2">
      <c r="A18" s="3">
        <v>0.5</v>
      </c>
      <c r="B18" s="3">
        <f t="shared" ref="B18:F18" si="3">B8/B4 * 100</f>
        <v>9.5418988279856176</v>
      </c>
      <c r="C18" s="3">
        <f t="shared" si="3"/>
        <v>18.033052084612404</v>
      </c>
      <c r="D18" s="3">
        <f t="shared" si="3"/>
        <v>17.53729906261313</v>
      </c>
      <c r="E18" s="3">
        <f t="shared" si="3"/>
        <v>17.484649831494391</v>
      </c>
      <c r="F18" s="3">
        <f t="shared" si="3"/>
        <v>36.805571201340989</v>
      </c>
    </row>
    <row r="19" spans="1:6" x14ac:dyDescent="0.2">
      <c r="A19" s="3">
        <v>0.25</v>
      </c>
      <c r="B19" s="3">
        <f t="shared" ref="B19:F19" si="4">B9/B4 * 100</f>
        <v>4.0864051821151151</v>
      </c>
      <c r="C19" s="3">
        <f t="shared" si="4"/>
        <v>44.874471075040596</v>
      </c>
      <c r="D19" s="3">
        <f t="shared" si="4"/>
        <v>9.7393494519714388</v>
      </c>
      <c r="E19" s="3">
        <f t="shared" si="4"/>
        <v>5.3450902543742203</v>
      </c>
      <c r="F19" s="3">
        <f t="shared" si="4"/>
        <v>33.615332969850449</v>
      </c>
    </row>
    <row r="20" spans="1:6" x14ac:dyDescent="0.2">
      <c r="A20" s="3">
        <v>0.125</v>
      </c>
      <c r="B20" s="3">
        <f t="shared" ref="B20:F20" si="5">B10/B4 * 100</f>
        <v>0.91181072104959782</v>
      </c>
      <c r="C20" s="3">
        <f t="shared" si="5"/>
        <v>11.053094223194151</v>
      </c>
      <c r="D20" s="3">
        <f t="shared" si="5"/>
        <v>1.6822127567800722</v>
      </c>
      <c r="E20" s="3">
        <f t="shared" si="5"/>
        <v>0.65786436452610675</v>
      </c>
      <c r="F20" s="3">
        <f t="shared" si="5"/>
        <v>4.6695535018271777</v>
      </c>
    </row>
    <row r="21" spans="1:6" x14ac:dyDescent="0.2">
      <c r="A21" s="3">
        <v>6.3E-2</v>
      </c>
      <c r="B21" s="3">
        <f t="shared" ref="B21:F21" si="6">B11/B4 * 100</f>
        <v>0.19323141108335851</v>
      </c>
      <c r="C21" s="3">
        <f t="shared" si="6"/>
        <v>1.5670406904334504</v>
      </c>
      <c r="D21" s="3">
        <f t="shared" si="6"/>
        <v>0.20064854539432636</v>
      </c>
      <c r="E21" s="3">
        <f t="shared" si="6"/>
        <v>8.0559530954249572E-2</v>
      </c>
      <c r="F21" s="3">
        <f t="shared" si="6"/>
        <v>0.49430668643292619</v>
      </c>
    </row>
    <row r="22" spans="1:6" x14ac:dyDescent="0.2">
      <c r="A22" s="3">
        <v>3.15E-2</v>
      </c>
      <c r="B22" s="3">
        <f t="shared" ref="B22:F22" si="7">B12/B4 * 100</f>
        <v>0.33431229928910605</v>
      </c>
      <c r="C22" s="3">
        <f t="shared" si="7"/>
        <v>2.3813561138950123</v>
      </c>
      <c r="D22" s="3">
        <f t="shared" si="7"/>
        <v>0.26804488981660485</v>
      </c>
      <c r="E22" s="3">
        <f t="shared" si="7"/>
        <v>0.1361894649369835</v>
      </c>
      <c r="F22" s="3">
        <f t="shared" si="7"/>
        <v>0.37895343964456779</v>
      </c>
    </row>
    <row r="24" spans="1:6" x14ac:dyDescent="0.2">
      <c r="B24" s="3">
        <f t="shared" ref="B24:F24" si="8">SUM(B15:B22)</f>
        <v>99.907226964565098</v>
      </c>
      <c r="C24" s="3">
        <f t="shared" si="8"/>
        <v>99.906250426355911</v>
      </c>
      <c r="D24" s="3">
        <f t="shared" si="8"/>
        <v>99.723482426884601</v>
      </c>
      <c r="E24" s="3">
        <f t="shared" si="8"/>
        <v>99.995614237569825</v>
      </c>
      <c r="F24" s="3">
        <f t="shared" si="8"/>
        <v>99.977695368296779</v>
      </c>
    </row>
    <row r="26" spans="1:6" ht="15.75" customHeight="1" x14ac:dyDescent="0.2">
      <c r="A26" s="28" t="s">
        <v>56</v>
      </c>
    </row>
    <row r="27" spans="1:6" ht="15.75" customHeight="1" x14ac:dyDescent="0.2">
      <c r="A27">
        <v>4</v>
      </c>
      <c r="B27">
        <f>SUM($B$15:B15)</f>
        <v>45.84250542090961</v>
      </c>
      <c r="C27">
        <f>SUM($C$15:C15)</f>
        <v>7.3276693778029856</v>
      </c>
      <c r="D27">
        <f>SUM($D$15:D15)</f>
        <v>31.236472590869525</v>
      </c>
      <c r="E27">
        <f>SUM($E$15:E15)</f>
        <v>34.825031161996215</v>
      </c>
      <c r="F27">
        <f>SUM($F$15:F15)</f>
        <v>5.6852027919090515</v>
      </c>
    </row>
    <row r="28" spans="1:6" ht="15.75" customHeight="1" x14ac:dyDescent="0.2">
      <c r="A28">
        <v>2</v>
      </c>
      <c r="B28">
        <f>SUM($B$15:B16)</f>
        <v>72.418411879340155</v>
      </c>
      <c r="C28">
        <f>SUM($C$15:C16)</f>
        <v>15.618367120211902</v>
      </c>
      <c r="D28">
        <f>SUM($D$15:D16)</f>
        <v>53.285475510094045</v>
      </c>
      <c r="E28">
        <f>SUM($E$15:E16)</f>
        <v>55.642398781219697</v>
      </c>
      <c r="F28">
        <f>SUM($F$15:F16)</f>
        <v>11.091935636493082</v>
      </c>
    </row>
    <row r="29" spans="1:6" ht="15.75" customHeight="1" x14ac:dyDescent="0.2">
      <c r="A29">
        <v>1</v>
      </c>
      <c r="B29">
        <f>SUM($B$15:B17)</f>
        <v>84.839568523042288</v>
      </c>
      <c r="C29">
        <f>SUM($C$15:C17)</f>
        <v>21.997236239180307</v>
      </c>
      <c r="D29">
        <f>SUM($D$15:D17)</f>
        <v>70.295927720309024</v>
      </c>
      <c r="E29">
        <f>SUM($E$15:E17)</f>
        <v>76.291260791283861</v>
      </c>
      <c r="F29">
        <f>SUM($F$15:F17)</f>
        <v>24.013977569200684</v>
      </c>
    </row>
    <row r="30" spans="1:6" ht="15.75" customHeight="1" x14ac:dyDescent="0.2">
      <c r="A30">
        <v>0.5</v>
      </c>
      <c r="B30">
        <f>SUM($B$15:B18)</f>
        <v>94.381467351027908</v>
      </c>
      <c r="C30">
        <f>SUM($C$15:C18)</f>
        <v>40.030288323792711</v>
      </c>
      <c r="D30">
        <f>SUM($D$15:D18)</f>
        <v>87.833226782922154</v>
      </c>
      <c r="E30">
        <f>SUM($E$15:E18)</f>
        <v>93.775910622778255</v>
      </c>
      <c r="F30">
        <f>SUM($F$15:F18)</f>
        <v>60.819548770541672</v>
      </c>
    </row>
    <row r="31" spans="1:6" ht="15.75" customHeight="1" x14ac:dyDescent="0.2">
      <c r="A31">
        <v>0.25</v>
      </c>
      <c r="B31">
        <f>SUM($B$15:B19)</f>
        <v>98.467872533143023</v>
      </c>
      <c r="C31">
        <f>SUM($C$15:C19)</f>
        <v>84.904759398833306</v>
      </c>
      <c r="D31">
        <f>SUM($D$15:D19)</f>
        <v>97.572576234893589</v>
      </c>
      <c r="E31">
        <f>SUM($E$15:E19)</f>
        <v>99.121000877152483</v>
      </c>
      <c r="F31">
        <f>SUM($F$15:F19)</f>
        <v>94.434881740392115</v>
      </c>
    </row>
    <row r="32" spans="1:6" ht="15.75" customHeight="1" x14ac:dyDescent="0.2">
      <c r="A32">
        <v>0.125</v>
      </c>
      <c r="B32">
        <f>SUM($B$15:B20)</f>
        <v>99.379683254192628</v>
      </c>
      <c r="C32">
        <f>SUM($C$15:C20)</f>
        <v>95.957853622027457</v>
      </c>
      <c r="D32">
        <f>SUM($D$15:D20)</f>
        <v>99.254788991673664</v>
      </c>
      <c r="E32">
        <f>SUM($E$15:E20)</f>
        <v>99.778865241678588</v>
      </c>
      <c r="F32">
        <f>SUM($F$15:F20)</f>
        <v>99.104435242219296</v>
      </c>
    </row>
    <row r="33" spans="1:13" ht="15.75" customHeight="1" x14ac:dyDescent="0.2">
      <c r="A33">
        <v>6.3E-2</v>
      </c>
      <c r="B33">
        <f>SUM($B$15:B21)</f>
        <v>99.572914665275988</v>
      </c>
      <c r="C33">
        <f>SUM($C$15:C21)</f>
        <v>97.524894312460901</v>
      </c>
      <c r="D33">
        <f>SUM($D$15:D21)</f>
        <v>99.455437537067994</v>
      </c>
      <c r="E33">
        <f>SUM($E$15:E21)</f>
        <v>99.859424772632835</v>
      </c>
      <c r="F33">
        <f>SUM($F$15:F21)</f>
        <v>99.598741928652217</v>
      </c>
    </row>
    <row r="34" spans="1:13" ht="15.75" customHeight="1" x14ac:dyDescent="0.2">
      <c r="A34">
        <v>3.15E-2</v>
      </c>
      <c r="B34">
        <f>SUM($B$15:B22)</f>
        <v>99.907226964565098</v>
      </c>
      <c r="C34">
        <f>SUM($C$15:C22)</f>
        <v>99.906250426355911</v>
      </c>
      <c r="D34">
        <f>SUM($D$15:D22)</f>
        <v>99.723482426884601</v>
      </c>
      <c r="E34">
        <f>SUM($E$15:E22)</f>
        <v>99.995614237569825</v>
      </c>
      <c r="F34">
        <f>SUM($F$15:F22)</f>
        <v>99.977695368296779</v>
      </c>
      <c r="H34" s="28"/>
    </row>
    <row r="36" spans="1:13" ht="15.75" customHeight="1" x14ac:dyDescent="0.2">
      <c r="A36" s="28" t="s">
        <v>57</v>
      </c>
      <c r="G36" s="28"/>
      <c r="I36" s="3"/>
      <c r="J36" s="3"/>
      <c r="K36" s="3"/>
      <c r="L36" s="3"/>
      <c r="M36" s="3"/>
    </row>
    <row r="37" spans="1:13" ht="15.75" customHeight="1" x14ac:dyDescent="0.2">
      <c r="A37">
        <v>4</v>
      </c>
      <c r="B37">
        <f>100-B27</f>
        <v>54.15749457909039</v>
      </c>
      <c r="C37">
        <f>100-C27</f>
        <v>92.672330622197009</v>
      </c>
      <c r="D37">
        <f>100-D27</f>
        <v>68.763527409130475</v>
      </c>
      <c r="E37">
        <f>100-E27</f>
        <v>65.174968838003792</v>
      </c>
      <c r="F37">
        <f>100-F27</f>
        <v>94.314797208090951</v>
      </c>
    </row>
    <row r="38" spans="1:13" ht="15.75" customHeight="1" x14ac:dyDescent="0.2">
      <c r="A38">
        <v>2</v>
      </c>
      <c r="B38">
        <f>100-B28</f>
        <v>27.581588120659845</v>
      </c>
      <c r="C38">
        <f>100-C28</f>
        <v>84.3816328797881</v>
      </c>
      <c r="D38">
        <f>100-D28</f>
        <v>46.714524489905955</v>
      </c>
      <c r="E38">
        <f>100-E28</f>
        <v>44.357601218780303</v>
      </c>
      <c r="F38">
        <f>100-F28</f>
        <v>88.908064363506924</v>
      </c>
    </row>
    <row r="39" spans="1:13" ht="15.75" customHeight="1" x14ac:dyDescent="0.2">
      <c r="A39">
        <v>1</v>
      </c>
      <c r="B39">
        <f t="shared" ref="B39:C44" si="9">100-B29</f>
        <v>15.160431476957712</v>
      </c>
      <c r="C39">
        <f t="shared" si="9"/>
        <v>78.00276376081969</v>
      </c>
      <c r="D39">
        <f t="shared" ref="D39:F39" si="10">100-D29</f>
        <v>29.704072279690976</v>
      </c>
      <c r="E39">
        <f t="shared" si="10"/>
        <v>23.708739208716139</v>
      </c>
      <c r="F39">
        <f t="shared" si="10"/>
        <v>75.986022430799324</v>
      </c>
    </row>
    <row r="40" spans="1:13" ht="15.75" customHeight="1" x14ac:dyDescent="0.2">
      <c r="A40">
        <v>0.5</v>
      </c>
      <c r="B40">
        <f t="shared" si="9"/>
        <v>5.6185326489720921</v>
      </c>
      <c r="C40">
        <f t="shared" si="9"/>
        <v>59.969711676207289</v>
      </c>
      <c r="D40">
        <f t="shared" ref="D40:F40" si="11">100-D30</f>
        <v>12.166773217077846</v>
      </c>
      <c r="E40">
        <f t="shared" si="11"/>
        <v>6.2240893772217447</v>
      </c>
      <c r="F40">
        <f t="shared" si="11"/>
        <v>39.180451229458328</v>
      </c>
    </row>
    <row r="41" spans="1:13" ht="15.75" customHeight="1" x14ac:dyDescent="0.2">
      <c r="A41">
        <v>0.25</v>
      </c>
      <c r="B41">
        <f t="shared" si="9"/>
        <v>1.5321274668569771</v>
      </c>
      <c r="C41">
        <f t="shared" si="9"/>
        <v>15.095240601166694</v>
      </c>
      <c r="D41">
        <f t="shared" ref="D41:F41" si="12">100-D31</f>
        <v>2.4274237651064112</v>
      </c>
      <c r="E41">
        <f t="shared" si="12"/>
        <v>0.87899912284751736</v>
      </c>
      <c r="F41">
        <f t="shared" si="12"/>
        <v>5.5651182596078854</v>
      </c>
    </row>
    <row r="42" spans="1:13" ht="15.75" customHeight="1" x14ac:dyDescent="0.2">
      <c r="A42">
        <v>0.125</v>
      </c>
      <c r="B42">
        <f t="shared" si="9"/>
        <v>0.62031674580737217</v>
      </c>
      <c r="C42">
        <f t="shared" si="9"/>
        <v>4.0421463779725428</v>
      </c>
      <c r="D42">
        <f t="shared" ref="D42:F42" si="13">100-D32</f>
        <v>0.74521100832633635</v>
      </c>
      <c r="E42">
        <f t="shared" si="13"/>
        <v>0.22113475832141205</v>
      </c>
      <c r="F42">
        <f t="shared" si="13"/>
        <v>0.89556475778070421</v>
      </c>
    </row>
    <row r="43" spans="1:13" ht="15.75" customHeight="1" x14ac:dyDescent="0.2">
      <c r="A43">
        <v>6.3E-2</v>
      </c>
      <c r="B43">
        <f t="shared" si="9"/>
        <v>0.427085334724012</v>
      </c>
      <c r="C43">
        <f t="shared" si="9"/>
        <v>2.4751056875390987</v>
      </c>
      <c r="D43">
        <f t="shared" ref="D43:F43" si="14">100-D33</f>
        <v>0.5445624629320065</v>
      </c>
      <c r="E43">
        <f t="shared" si="14"/>
        <v>0.14057522736716521</v>
      </c>
      <c r="F43">
        <f t="shared" si="14"/>
        <v>0.40125807134778313</v>
      </c>
    </row>
    <row r="44" spans="1:13" ht="15.75" customHeight="1" x14ac:dyDescent="0.2">
      <c r="A44">
        <v>3.15E-2</v>
      </c>
      <c r="B44">
        <f t="shared" si="9"/>
        <v>9.277303543490234E-2</v>
      </c>
      <c r="C44">
        <f t="shared" si="9"/>
        <v>9.3749573644089423E-2</v>
      </c>
      <c r="D44">
        <f t="shared" ref="D44:F44" si="15">100-D34</f>
        <v>0.27651757311539882</v>
      </c>
      <c r="E44">
        <f t="shared" si="15"/>
        <v>4.3857624301750775E-3</v>
      </c>
      <c r="F44">
        <f t="shared" si="15"/>
        <v>2.2304631703221389E-2</v>
      </c>
    </row>
    <row r="47" spans="1:13" ht="15.75" customHeight="1" x14ac:dyDescent="0.2">
      <c r="A47" s="28" t="s">
        <v>59</v>
      </c>
    </row>
    <row r="49" spans="1:6" ht="15.75" customHeight="1" x14ac:dyDescent="0.2">
      <c r="A49" s="29" t="s">
        <v>58</v>
      </c>
      <c r="B49" s="3" t="s">
        <v>8</v>
      </c>
      <c r="C49" s="3" t="s">
        <v>7</v>
      </c>
      <c r="D49" s="3" t="s">
        <v>9</v>
      </c>
      <c r="E49" s="3" t="s">
        <v>11</v>
      </c>
      <c r="F49" s="3" t="s">
        <v>40</v>
      </c>
    </row>
    <row r="50" spans="1:6" ht="15.75" customHeight="1" x14ac:dyDescent="0.2">
      <c r="A50" s="25">
        <v>3.15E-2</v>
      </c>
      <c r="B50">
        <v>9.277303543490234E-2</v>
      </c>
      <c r="C50">
        <v>9.3749573644089423E-2</v>
      </c>
      <c r="D50">
        <v>0.27651757311539882</v>
      </c>
      <c r="E50">
        <v>4.3857624301750775E-3</v>
      </c>
      <c r="F50">
        <v>2.2304631703221389E-2</v>
      </c>
    </row>
    <row r="51" spans="1:6" ht="15.75" customHeight="1" x14ac:dyDescent="0.2">
      <c r="A51" s="25">
        <v>6.3E-2</v>
      </c>
      <c r="B51">
        <v>0.427085334724012</v>
      </c>
      <c r="C51">
        <v>2.4751056875390987</v>
      </c>
      <c r="D51">
        <v>0.15944049480469857</v>
      </c>
      <c r="E51">
        <v>0.14057522736716521</v>
      </c>
      <c r="F51">
        <v>0.40125807134778313</v>
      </c>
    </row>
    <row r="52" spans="1:6" ht="15.75" customHeight="1" x14ac:dyDescent="0.2">
      <c r="A52" s="25">
        <v>0.125</v>
      </c>
      <c r="B52">
        <v>0.62031674580737217</v>
      </c>
      <c r="C52">
        <v>4.0421463779725428</v>
      </c>
      <c r="D52">
        <v>0.36008904019902843</v>
      </c>
      <c r="E52">
        <v>0.22113475832141205</v>
      </c>
      <c r="F52">
        <v>0.89556475778070421</v>
      </c>
    </row>
    <row r="53" spans="1:6" ht="15.75" customHeight="1" x14ac:dyDescent="0.2">
      <c r="A53" s="25">
        <v>0.25</v>
      </c>
      <c r="B53">
        <v>1.5321274668569771</v>
      </c>
      <c r="C53">
        <v>15.095240601166694</v>
      </c>
      <c r="D53">
        <v>2.4274237651064112</v>
      </c>
      <c r="E53">
        <v>0.87899912284751736</v>
      </c>
      <c r="F53">
        <v>5.5651182596078854</v>
      </c>
    </row>
    <row r="54" spans="1:6" ht="15.75" customHeight="1" x14ac:dyDescent="0.2">
      <c r="A54" s="25">
        <v>0.5</v>
      </c>
      <c r="B54">
        <v>5.6185326489720921</v>
      </c>
      <c r="C54">
        <v>59.969711676207289</v>
      </c>
      <c r="D54">
        <v>12.166773217077846</v>
      </c>
      <c r="E54">
        <v>6.2240893772217447</v>
      </c>
      <c r="F54">
        <v>39.180451229458328</v>
      </c>
    </row>
    <row r="55" spans="1:6" ht="15.75" customHeight="1" x14ac:dyDescent="0.2">
      <c r="A55" s="25">
        <v>1</v>
      </c>
      <c r="B55">
        <v>15.160431476957712</v>
      </c>
      <c r="C55">
        <v>78.00276376081969</v>
      </c>
      <c r="D55">
        <v>29.704072279690976</v>
      </c>
      <c r="E55">
        <v>23.708739208716139</v>
      </c>
      <c r="F55">
        <v>75.986022430799324</v>
      </c>
    </row>
    <row r="56" spans="1:6" ht="15.75" customHeight="1" x14ac:dyDescent="0.2">
      <c r="A56" s="25">
        <v>2</v>
      </c>
      <c r="B56">
        <v>27.581588120659845</v>
      </c>
      <c r="C56">
        <v>84.3816328797881</v>
      </c>
      <c r="D56">
        <v>46.714524489905955</v>
      </c>
      <c r="E56">
        <v>44.357601218780303</v>
      </c>
      <c r="F56">
        <v>88.908064363506924</v>
      </c>
    </row>
    <row r="57" spans="1:6" ht="15.75" customHeight="1" x14ac:dyDescent="0.2">
      <c r="A57" s="25">
        <v>4</v>
      </c>
      <c r="B57">
        <v>54.15749457909039</v>
      </c>
      <c r="C57">
        <v>92.672330622197009</v>
      </c>
      <c r="D57">
        <v>68.763527409130475</v>
      </c>
      <c r="E57">
        <v>65.174968838003792</v>
      </c>
      <c r="F57">
        <v>94.314797208090951</v>
      </c>
    </row>
    <row r="58" spans="1:6" ht="15.75" customHeight="1" x14ac:dyDescent="0.2">
      <c r="A58" s="30">
        <v>8</v>
      </c>
      <c r="B58">
        <v>100</v>
      </c>
      <c r="C58">
        <v>100</v>
      </c>
      <c r="D58">
        <v>100</v>
      </c>
      <c r="E58">
        <v>100</v>
      </c>
      <c r="F58">
        <v>100</v>
      </c>
    </row>
    <row r="59" spans="1:6" ht="15.75" customHeight="1" x14ac:dyDescent="0.2">
      <c r="A59" s="28" t="s">
        <v>60</v>
      </c>
    </row>
    <row r="60" spans="1:6" ht="15.75" customHeight="1" x14ac:dyDescent="0.2">
      <c r="A60" s="25">
        <v>5</v>
      </c>
      <c r="B60" cm="1">
        <f t="array" ref="B60">10^(LOG10(INDEX($A$50:$A$58, MATCH($A60, B$50:B$58, 1))) +
 ($A60 - INDEX(B$50:B$58, MATCH($A60, B$50:B$58, 1))) /
 (INDEX(B$50:B$58, MATCH($A60, B$50:B$58, 1)+1) - INDEX(B$50:B$58, MATCH($A60, B$50:B$58, 1))) *
 (LOG10(INDEX($A$50:$A$58, MATCH($A60, B$50:B$58, 1)+1)) -LOG10(INDEX($A$50:$A$58, MATCH($A60, B$50:B$58, 1))))
)</f>
        <v>0.45019953936221174</v>
      </c>
      <c r="C60" cm="1">
        <f t="array" ref="C60">10^(LOG10(INDEX($A$50:$A$58, MATCH($A60, C$50:C$58, 1))) +
 ($A60 - INDEX(C$50:C$58, MATCH($A60, C$50:C$58, 1))) /
 (INDEX(C$50:C$58, MATCH($A60, C$50:C$58, 1)+1) - INDEX(C$50:C$58, MATCH($A60, C$50:C$58, 1))) *
 (LOG10(INDEX($A$50:$A$58, MATCH($A60, C$50:C$58, 1)+1)) -LOG10(INDEX($A$50:$A$58, MATCH($A60, C$50:C$58, 1))))
)</f>
        <v>0.13273854948587835</v>
      </c>
      <c r="D60" cm="1">
        <f t="array" ref="D60">10^(LOG10(INDEX($A$50:$A$58, MATCH($A60, D$50:D$58, 1))) +
 ($A60 - INDEX(D$50:D$58, MATCH($A60, D$50:D$58, 1))) /
 (INDEX(D$50:D$58, MATCH($A60, D$50:D$58, 1)+1) - INDEX(D$50:D$58, MATCH($A60, D$50:D$58, 1))) *
 (LOG10(INDEX($A$50:$A$58, MATCH($A60, D$50:D$58, 1)+1)) -LOG10(INDEX($A$50:$A$58, MATCH($A60, D$50:D$58, 1))))
)</f>
        <v>0.3002305128297767</v>
      </c>
      <c r="E60" cm="1">
        <f t="array" ref="E60">10^(LOG10(INDEX($A$50:$A$58, MATCH($A60, E$50:E$58, 1))) +
 ($A60 - INDEX(E$50:E$58, MATCH($A60, E$50:E$58, 1))) /
 (INDEX(E$50:E$58, MATCH($A60, E$50:E$58, 1)+1) - INDEX(E$50:E$58, MATCH($A60, E$50:E$58, 1))) *
 (LOG10(INDEX($A$50:$A$58, MATCH($A60, E$50:E$58, 1)+1)) -LOG10(INDEX($A$50:$A$58, MATCH($A60, E$50:E$58, 1))))
)</f>
        <v>0.42660952450873091</v>
      </c>
      <c r="F60" cm="1">
        <f t="array" ref="F60">10^(LOG10(INDEX($A$50:$A$58, MATCH($A60, F$50:F$58, 1))) +
 ($A60 - INDEX(F$50:F$58, MATCH($A60, F$50:F$58, 1))) /
 (INDEX(F$50:F$58, MATCH($A60, F$50:F$58, 1)+1) - INDEX(F$50:F$58, MATCH($A60, F$50:F$58, 1))) *
 (LOG10(INDEX($A$50:$A$58, MATCH($A60, F$50:F$58, 1)+1)) -LOG10(INDEX($A$50:$A$58, MATCH($A60, F$50:F$58, 1))))
)</f>
        <v>0.22988402111619632</v>
      </c>
    </row>
    <row r="61" spans="1:6" ht="15.75" customHeight="1" x14ac:dyDescent="0.2">
      <c r="A61" s="25">
        <v>16</v>
      </c>
      <c r="B61" cm="1">
        <f t="array" ref="B61">10^(LOG10(INDEX($A$50:$A$58, MATCH($A61, B$50:B$58, 1))) +
 ($A61 - INDEX(B$50:B$58, MATCH($A61, B$50:B$58, 1))) /
 (INDEX(B$50:B$58, MATCH($A61, B$50:B$58, 1)+1) - INDEX(B$50:B$58, MATCH($A61, B$50:B$58, 1))) *
 (LOG10(INDEX($A$50:$A$58, MATCH($A61, B$50:B$58, 1)+1)) -LOG10(INDEX($A$50:$A$58, MATCH($A61, B$50:B$58, 1))))
)</f>
        <v>1.0479659302398521</v>
      </c>
      <c r="C61" cm="1">
        <f t="array" ref="C61">10^(LOG10(INDEX($A$50:$A$58, MATCH($A61, C$50:C$58, 1))) +
 ($A61 - INDEX(C$50:C$58, MATCH($A61, C$50:C$58, 1))) /
 (INDEX(C$50:C$58, MATCH($A61, C$50:C$58, 1)+1) - INDEX(C$50:C$58, MATCH($A61, C$50:C$58, 1))) *
 (LOG10(INDEX($A$50:$A$58, MATCH($A61, C$50:C$58, 1)+1)) -LOG10(INDEX($A$50:$A$58, MATCH($A61, C$50:C$58, 1))))
)</f>
        <v>0.25351833710921662</v>
      </c>
      <c r="D61" cm="1">
        <f t="array" ref="D61">10^(LOG10(INDEX($A$50:$A$58, MATCH($A61, D$50:D$58, 1))) +
 ($A61 - INDEX(D$50:D$58, MATCH($A61, D$50:D$58, 1))) /
 (INDEX(D$50:D$58, MATCH($A61, D$50:D$58, 1)+1) - INDEX(D$50:D$58, MATCH($A61, D$50:D$58, 1))) *
 (LOG10(INDEX($A$50:$A$58, MATCH($A61, D$50:D$58, 1)+1)) -LOG10(INDEX($A$50:$A$58, MATCH($A61, D$50:D$58, 1))))
)</f>
        <v>0.58179212098357969</v>
      </c>
      <c r="E61" cm="1">
        <f t="array" ref="E61">10^(LOG10(INDEX($A$50:$A$58, MATCH($A61, E$50:E$58, 1))) +
 ($A61 - INDEX(E$50:E$58, MATCH($A61, E$50:E$58, 1))) /
 (INDEX(E$50:E$58, MATCH($A61, E$50:E$58, 1)+1) - INDEX(E$50:E$58, MATCH($A61, E$50:E$58, 1))) *
 (LOG10(INDEX($A$50:$A$58, MATCH($A61, E$50:E$58, 1)+1)) -LOG10(INDEX($A$50:$A$58, MATCH($A61, E$50:E$58, 1))))
)</f>
        <v>0.7366819973292954</v>
      </c>
      <c r="F61" cm="1">
        <f t="array" ref="F61">10^(LOG10(INDEX($A$50:$A$58, MATCH($A61, F$50:F$58, 1))) +
 ($A61 - INDEX(F$50:F$58, MATCH($A61, F$50:F$58, 1))) /
 (INDEX(F$50:F$58, MATCH($A61, F$50:F$58, 1)+1) - INDEX(F$50:F$58, MATCH($A61, F$50:F$58, 1))) *
 (LOG10(INDEX($A$50:$A$58, MATCH($A61, F$50:F$58, 1)+1)) -LOG10(INDEX($A$50:$A$58, MATCH($A61, F$50:F$58, 1))))
)</f>
        <v>0.31001722904481149</v>
      </c>
    </row>
    <row r="62" spans="1:6" ht="15.75" customHeight="1" x14ac:dyDescent="0.2">
      <c r="A62" s="25">
        <v>50</v>
      </c>
      <c r="B62" cm="1">
        <f t="array" ref="B62">10^(LOG10(INDEX($A$50:$A$58, MATCH($A62, B$50:B$58, 1))) +
 ($A62 - INDEX(B$50:B$58, MATCH($A62, B$50:B$58, 1))) /
 (INDEX(B$50:B$58, MATCH($A62, B$50:B$58, 1)+1) - INDEX(B$50:B$58, MATCH($A62, B$50:B$58, 1))) *
 (LOG10(INDEX($A$50:$A$58, MATCH($A62, B$50:B$58, 1)+1)) -LOG10(INDEX($A$50:$A$58, MATCH($A62, B$50:B$58, 1))))
)</f>
        <v>3.5889492275897346</v>
      </c>
      <c r="C62" cm="1">
        <f t="array" ref="C62">10^(LOG10(INDEX($A$50:$A$58, MATCH($A62, C$50:C$58, 1))) +
 ($A62 - INDEX(C$50:C$58, MATCH($A62, C$50:C$58, 1))) /
 (INDEX(C$50:C$58, MATCH($A62, C$50:C$58, 1)+1) - INDEX(C$50:C$58, MATCH($A62, C$50:C$58, 1))) *
 (LOG10(INDEX($A$50:$A$58, MATCH($A62, C$50:C$58, 1)+1)) -LOG10(INDEX($A$50:$A$58, MATCH($A62, C$50:C$58, 1))))
)</f>
        <v>0.42863783497979607</v>
      </c>
      <c r="D62" cm="1">
        <f t="array" ref="D62">10^(LOG10(INDEX($A$50:$A$58, MATCH($A62, D$50:D$58, 1))) +
 ($A62 - INDEX(D$50:D$58, MATCH($A62, D$50:D$58, 1))) /
 (INDEX(D$50:D$58, MATCH($A62, D$50:D$58, 1)+1) - INDEX(D$50:D$58, MATCH($A62, D$50:D$58, 1))) *
 (LOG10(INDEX($A$50:$A$58, MATCH($A62, D$50:D$58, 1)+1)) -LOG10(INDEX($A$50:$A$58, MATCH($A62, D$50:D$58, 1))))
)</f>
        <v>2.2176134227120619</v>
      </c>
      <c r="E62" cm="1">
        <f t="array" ref="E62">10^(LOG10(INDEX($A$50:$A$58, MATCH($A62, E$50:E$58, 1))) +
 ($A62 - INDEX(E$50:E$58, MATCH($A62, E$50:E$58, 1))) /
 (INDEX(E$50:E$58, MATCH($A62, E$50:E$58, 1)+1) - INDEX(E$50:E$58, MATCH($A62, E$50:E$58, 1))) *
 (LOG10(INDEX($A$50:$A$58, MATCH($A62, E$50:E$58, 1)+1)) -LOG10(INDEX($A$50:$A$58, MATCH($A62, E$50:E$58, 1))))
)</f>
        <v>2.4133595290526699</v>
      </c>
      <c r="F62" cm="1">
        <f t="array" ref="F62">10^(LOG10(INDEX($A$50:$A$58, MATCH($A62, F$50:F$58, 1))) +
 ($A62 - INDEX(F$50:F$58, MATCH($A62, F$50:F$58, 1))) /
 (INDEX(F$50:F$58, MATCH($A62, F$50:F$58, 1)+1) - INDEX(F$50:F$58, MATCH($A62, F$50:F$58, 1))) *
 (LOG10(INDEX($A$50:$A$58, MATCH($A62, F$50:F$58, 1)+1)) -LOG10(INDEX($A$50:$A$58, MATCH($A62, F$50:F$58, 1))))
)</f>
        <v>0.61300254714022717</v>
      </c>
    </row>
    <row r="63" spans="1:6" ht="15.75" customHeight="1" x14ac:dyDescent="0.2">
      <c r="A63" s="25">
        <v>84</v>
      </c>
      <c r="B63" cm="1">
        <f t="array" ref="B63">10^(LOG10(INDEX($A$50:$A$58, MATCH($A63, B$50:B$58, 1))) +
 ($A63 - INDEX(B$50:B$58, MATCH($A63, B$50:B$58, 1))) /
 (INDEX(B$50:B$58, MATCH($A63, B$50:B$58, 1)+1) - INDEX(B$50:B$58, MATCH($A63, B$50:B$58, 1))) *
 (LOG10(INDEX($A$50:$A$58, MATCH($A63, B$50:B$58, 1)+1)) -LOG10(INDEX($A$50:$A$58, MATCH($A63, B$50:B$58, 1))))
)</f>
        <v>6.2809332460038707</v>
      </c>
      <c r="C63" cm="1">
        <f t="array" ref="C63">10^(LOG10(INDEX($A$50:$A$58, MATCH($A63, C$50:C$58, 1))) +
 ($A63 - INDEX(C$50:C$58, MATCH($A63, C$50:C$58, 1))) /
 (INDEX(C$50:C$58, MATCH($A63, C$50:C$58, 1)+1) - INDEX(C$50:C$58, MATCH($A63, C$50:C$58, 1))) *
 (LOG10(INDEX($A$50:$A$58, MATCH($A63, C$50:C$58, 1)+1)) -LOG10(INDEX($A$50:$A$58, MATCH($A63, C$50:C$58, 1))))
)</f>
        <v>1.9187574199791948</v>
      </c>
      <c r="D63" cm="1">
        <f t="array" ref="D63">10^(LOG10(INDEX($A$50:$A$58, MATCH($A63, D$50:D$58, 1))) +
 ($A63 - INDEX(D$50:D$58, MATCH($A63, D$50:D$58, 1))) /
 (INDEX(D$50:D$58, MATCH($A63, D$50:D$58, 1)+1) - INDEX(D$50:D$58, MATCH($A63, D$50:D$58, 1))) *
 (LOG10(INDEX($A$50:$A$58, MATCH($A63, D$50:D$58, 1)+1)) -LOG10(INDEX($A$50:$A$58, MATCH($A63, D$50:D$58, 1))))
)</f>
        <v>5.6091348635157861</v>
      </c>
      <c r="E63" cm="1">
        <f t="array" ref="E63">10^(LOG10(INDEX($A$50:$A$58, MATCH($A63, E$50:E$58, 1))) +
 ($A63 - INDEX(E$50:E$58, MATCH($A63, E$50:E$58, 1))) /
 (INDEX(E$50:E$58, MATCH($A63, E$50:E$58, 1)+1) - INDEX(E$50:E$58, MATCH($A63, E$50:E$58, 1))) *
 (LOG10(INDEX($A$50:$A$58, MATCH($A63, E$50:E$58, 1)+1)) -LOG10(INDEX($A$50:$A$58, MATCH($A63, E$50:E$58, 1))))
)</f>
        <v>5.8181494437983723</v>
      </c>
      <c r="F63" cm="1">
        <f t="array" ref="F63">10^(LOG10(INDEX($A$50:$A$58, MATCH($A63, F$50:F$58, 1))) +
 ($A63 - INDEX(F$50:F$58, MATCH($A63, F$50:F$58, 1))) /
 (INDEX(F$50:F$58, MATCH($A63, F$50:F$58, 1)+1) - INDEX(F$50:F$58, MATCH($A63, F$50:F$58, 1))) *
 (LOG10(INDEX($A$50:$A$58, MATCH($A63, F$50:F$58, 1)+1)) -LOG10(INDEX($A$50:$A$58, MATCH($A63, F$50:F$58, 1))))
)</f>
        <v>1.5370657567846981</v>
      </c>
    </row>
  </sheetData>
  <sortState xmlns:xlrd2="http://schemas.microsoft.com/office/spreadsheetml/2017/richdata2" ref="H37:M44">
    <sortCondition ref="H37:H4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54"/>
  <sheetViews>
    <sheetView workbookViewId="0">
      <selection sqref="A1:B1"/>
    </sheetView>
  </sheetViews>
  <sheetFormatPr defaultColWidth="12.5703125" defaultRowHeight="15.75" customHeight="1" x14ac:dyDescent="0.2"/>
  <sheetData>
    <row r="1" spans="1:17" x14ac:dyDescent="0.2">
      <c r="A1" s="7" t="s">
        <v>0</v>
      </c>
      <c r="B1" s="8"/>
      <c r="C1" s="7" t="s">
        <v>1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x14ac:dyDescent="0.2">
      <c r="A2" s="1" t="s">
        <v>2</v>
      </c>
      <c r="B2" s="2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  <c r="L2" s="3" t="s">
        <v>13</v>
      </c>
      <c r="M2" s="3" t="s">
        <v>14</v>
      </c>
      <c r="N2" s="3" t="s">
        <v>15</v>
      </c>
      <c r="O2" s="3" t="s">
        <v>16</v>
      </c>
      <c r="P2" s="3" t="s">
        <v>17</v>
      </c>
      <c r="Q2" s="3" t="s">
        <v>18</v>
      </c>
    </row>
    <row r="3" spans="1:17" x14ac:dyDescent="0.2">
      <c r="A3" s="1" t="s">
        <v>19</v>
      </c>
      <c r="B3" s="2">
        <v>1</v>
      </c>
      <c r="C3" s="3">
        <v>1</v>
      </c>
      <c r="D3" s="3">
        <v>0</v>
      </c>
      <c r="E3" s="3">
        <v>0</v>
      </c>
      <c r="F3" s="3" t="s">
        <v>20</v>
      </c>
      <c r="G3" s="3" t="s">
        <v>20</v>
      </c>
      <c r="H3" s="3" t="s">
        <v>20</v>
      </c>
      <c r="I3" s="3">
        <v>3</v>
      </c>
      <c r="J3" s="3" t="s">
        <v>20</v>
      </c>
      <c r="K3" s="3">
        <v>4</v>
      </c>
      <c r="L3" s="3">
        <v>5</v>
      </c>
      <c r="M3" s="3">
        <v>1</v>
      </c>
      <c r="N3" s="3">
        <v>3</v>
      </c>
      <c r="O3" s="3" t="s">
        <v>20</v>
      </c>
      <c r="P3" s="3">
        <v>3</v>
      </c>
      <c r="Q3" s="3">
        <v>4</v>
      </c>
    </row>
    <row r="4" spans="1:17" x14ac:dyDescent="0.2">
      <c r="A4" s="4">
        <v>46057</v>
      </c>
      <c r="B4" s="2">
        <v>2</v>
      </c>
      <c r="C4" s="3">
        <v>3</v>
      </c>
      <c r="D4" s="3">
        <v>2</v>
      </c>
      <c r="E4" s="3">
        <v>0</v>
      </c>
      <c r="I4" s="3">
        <v>2</v>
      </c>
      <c r="K4" s="3">
        <v>6</v>
      </c>
      <c r="L4" s="3">
        <v>7</v>
      </c>
      <c r="M4" s="3">
        <v>2</v>
      </c>
      <c r="N4" s="3">
        <v>6</v>
      </c>
      <c r="P4" s="3">
        <v>2</v>
      </c>
      <c r="Q4" s="3">
        <v>6</v>
      </c>
    </row>
    <row r="5" spans="1:17" x14ac:dyDescent="0.2">
      <c r="A5" s="4">
        <v>46120</v>
      </c>
      <c r="B5" s="2">
        <v>3</v>
      </c>
      <c r="C5" s="3">
        <v>4</v>
      </c>
      <c r="D5" s="3">
        <v>4</v>
      </c>
      <c r="E5" s="3">
        <v>2</v>
      </c>
      <c r="I5" s="3">
        <v>6</v>
      </c>
      <c r="K5" s="3">
        <v>5</v>
      </c>
      <c r="L5" s="3">
        <v>6</v>
      </c>
      <c r="M5" s="3">
        <v>3</v>
      </c>
      <c r="N5" s="3">
        <v>6</v>
      </c>
      <c r="P5" s="3">
        <v>2</v>
      </c>
      <c r="Q5" s="3">
        <v>3</v>
      </c>
    </row>
    <row r="6" spans="1:17" x14ac:dyDescent="0.2">
      <c r="A6" s="4">
        <v>46250</v>
      </c>
      <c r="B6" s="2">
        <v>4</v>
      </c>
      <c r="C6" s="3">
        <v>5</v>
      </c>
      <c r="D6" s="3">
        <v>6</v>
      </c>
      <c r="E6" s="3">
        <v>5</v>
      </c>
      <c r="I6" s="3">
        <v>3</v>
      </c>
      <c r="K6" s="3">
        <v>2</v>
      </c>
      <c r="L6" s="3">
        <v>2</v>
      </c>
      <c r="M6" s="3">
        <v>0</v>
      </c>
      <c r="N6" s="3">
        <v>3</v>
      </c>
      <c r="P6" s="3">
        <v>0</v>
      </c>
      <c r="Q6" s="3">
        <v>0</v>
      </c>
    </row>
    <row r="7" spans="1:17" x14ac:dyDescent="0.2">
      <c r="A7" s="1" t="s">
        <v>21</v>
      </c>
      <c r="B7" s="2">
        <v>5</v>
      </c>
      <c r="C7" s="3">
        <v>6</v>
      </c>
      <c r="D7" s="3">
        <v>7</v>
      </c>
      <c r="E7" s="3">
        <v>6</v>
      </c>
      <c r="I7" s="3">
        <v>0</v>
      </c>
      <c r="K7" s="3">
        <v>0</v>
      </c>
      <c r="L7" s="3">
        <v>1</v>
      </c>
      <c r="M7" s="3">
        <v>2</v>
      </c>
      <c r="N7" s="3">
        <v>0</v>
      </c>
      <c r="P7" s="3">
        <v>2</v>
      </c>
      <c r="Q7" s="3">
        <v>0</v>
      </c>
    </row>
    <row r="8" spans="1:17" x14ac:dyDescent="0.2">
      <c r="A8" s="1" t="s">
        <v>22</v>
      </c>
      <c r="B8" s="2">
        <v>6</v>
      </c>
      <c r="C8" s="3">
        <v>1</v>
      </c>
      <c r="D8" s="3">
        <v>0</v>
      </c>
      <c r="E8" s="3">
        <v>2</v>
      </c>
      <c r="I8" s="3">
        <v>0</v>
      </c>
      <c r="K8" s="3">
        <v>0</v>
      </c>
      <c r="L8" s="3">
        <v>0</v>
      </c>
      <c r="M8" s="3">
        <v>1</v>
      </c>
      <c r="N8" s="3">
        <v>0</v>
      </c>
      <c r="P8" s="3">
        <v>1</v>
      </c>
      <c r="Q8" s="3">
        <v>0</v>
      </c>
    </row>
    <row r="9" spans="1:17" x14ac:dyDescent="0.2">
      <c r="A9" s="1" t="s">
        <v>23</v>
      </c>
      <c r="B9" s="2">
        <v>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x14ac:dyDescent="0.2">
      <c r="A10" s="1" t="s">
        <v>24</v>
      </c>
      <c r="B10" s="2">
        <v>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x14ac:dyDescent="0.2">
      <c r="A11" s="1" t="s">
        <v>25</v>
      </c>
      <c r="B11" s="2">
        <v>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x14ac:dyDescent="0.2">
      <c r="A12" s="1" t="s">
        <v>26</v>
      </c>
      <c r="B12" s="2">
        <v>10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x14ac:dyDescent="0.2">
      <c r="A13" s="1" t="s">
        <v>27</v>
      </c>
      <c r="B13" s="2">
        <v>11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x14ac:dyDescent="0.2">
      <c r="A14" s="1" t="s">
        <v>28</v>
      </c>
      <c r="B14" s="2">
        <v>12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x14ac:dyDescent="0.2">
      <c r="A15" s="1" t="s">
        <v>29</v>
      </c>
      <c r="B15" s="2">
        <v>13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</row>
    <row r="17" spans="1:17" x14ac:dyDescent="0.2">
      <c r="B17" s="3" t="s">
        <v>36</v>
      </c>
      <c r="C17" s="3">
        <f t="shared" ref="C17:Q17" si="0">SUM(C3:C15)</f>
        <v>20</v>
      </c>
      <c r="D17" s="3">
        <f t="shared" si="0"/>
        <v>19</v>
      </c>
      <c r="E17" s="3">
        <f t="shared" si="0"/>
        <v>15</v>
      </c>
      <c r="F17" s="3">
        <f t="shared" si="0"/>
        <v>0</v>
      </c>
      <c r="G17" s="3">
        <f t="shared" si="0"/>
        <v>0</v>
      </c>
      <c r="H17" s="3">
        <f t="shared" si="0"/>
        <v>0</v>
      </c>
      <c r="I17" s="3">
        <f t="shared" si="0"/>
        <v>14</v>
      </c>
      <c r="J17" s="3">
        <f t="shared" si="0"/>
        <v>0</v>
      </c>
      <c r="K17" s="3">
        <f t="shared" si="0"/>
        <v>17</v>
      </c>
      <c r="L17" s="3">
        <f t="shared" si="0"/>
        <v>21</v>
      </c>
      <c r="M17" s="3">
        <f t="shared" si="0"/>
        <v>9</v>
      </c>
      <c r="N17" s="3">
        <f t="shared" si="0"/>
        <v>18</v>
      </c>
      <c r="O17" s="3">
        <f t="shared" si="0"/>
        <v>0</v>
      </c>
      <c r="P17" s="3">
        <f t="shared" si="0"/>
        <v>10</v>
      </c>
      <c r="Q17" s="3">
        <f t="shared" si="0"/>
        <v>13</v>
      </c>
    </row>
    <row r="18" spans="1:17" x14ac:dyDescent="0.2">
      <c r="A18" s="3" t="s">
        <v>37</v>
      </c>
    </row>
    <row r="19" spans="1:17" x14ac:dyDescent="0.2">
      <c r="A19" s="1" t="s">
        <v>19</v>
      </c>
      <c r="B19" s="2">
        <v>1</v>
      </c>
      <c r="C19" s="3">
        <f t="shared" ref="C19:E19" si="1">C3/C17 * 100</f>
        <v>5</v>
      </c>
      <c r="D19" s="3">
        <f t="shared" si="1"/>
        <v>0</v>
      </c>
      <c r="E19" s="3">
        <f t="shared" si="1"/>
        <v>0</v>
      </c>
      <c r="I19" s="3">
        <f>I3/I17 * 100</f>
        <v>21.428571428571427</v>
      </c>
      <c r="K19" s="3">
        <f t="shared" ref="K19:N19" si="2">K3/K17 * 100</f>
        <v>23.52941176470588</v>
      </c>
      <c r="L19" s="3">
        <f t="shared" si="2"/>
        <v>23.809523809523807</v>
      </c>
      <c r="M19" s="3">
        <f t="shared" si="2"/>
        <v>11.111111111111111</v>
      </c>
      <c r="N19" s="3">
        <f t="shared" si="2"/>
        <v>16.666666666666664</v>
      </c>
      <c r="P19" s="3">
        <f t="shared" ref="P19:Q19" si="3">P3/P17 * 100</f>
        <v>30</v>
      </c>
      <c r="Q19" s="3">
        <f t="shared" si="3"/>
        <v>30.76923076923077</v>
      </c>
    </row>
    <row r="20" spans="1:17" x14ac:dyDescent="0.2">
      <c r="A20" s="4">
        <v>46057</v>
      </c>
      <c r="B20" s="2">
        <v>2</v>
      </c>
      <c r="C20" s="3">
        <f t="shared" ref="C20:E20" si="4">C4/C17 * 100</f>
        <v>15</v>
      </c>
      <c r="D20" s="3">
        <f t="shared" si="4"/>
        <v>10.526315789473683</v>
      </c>
      <c r="E20" s="3">
        <f t="shared" si="4"/>
        <v>0</v>
      </c>
      <c r="I20" s="3">
        <f>I4/I17 * 100</f>
        <v>14.285714285714285</v>
      </c>
      <c r="K20" s="3">
        <f t="shared" ref="K20:N20" si="5">K4/K17 * 100</f>
        <v>35.294117647058826</v>
      </c>
      <c r="L20" s="3">
        <f t="shared" si="5"/>
        <v>33.333333333333329</v>
      </c>
      <c r="M20" s="3">
        <f t="shared" si="5"/>
        <v>22.222222222222221</v>
      </c>
      <c r="N20" s="3">
        <f t="shared" si="5"/>
        <v>33.333333333333329</v>
      </c>
      <c r="P20" s="3">
        <f t="shared" ref="P20:Q20" si="6">P4/P17 * 100</f>
        <v>20</v>
      </c>
      <c r="Q20" s="3">
        <f t="shared" si="6"/>
        <v>46.153846153846153</v>
      </c>
    </row>
    <row r="21" spans="1:17" x14ac:dyDescent="0.2">
      <c r="A21" s="4">
        <v>46120</v>
      </c>
      <c r="B21" s="2">
        <v>3</v>
      </c>
      <c r="C21" s="3">
        <f t="shared" ref="C21:E21" si="7">C5/C17 * 100</f>
        <v>20</v>
      </c>
      <c r="D21" s="3">
        <f t="shared" si="7"/>
        <v>21.052631578947366</v>
      </c>
      <c r="E21" s="3">
        <f t="shared" si="7"/>
        <v>13.333333333333334</v>
      </c>
      <c r="I21" s="3">
        <f>I5/I17 * 100</f>
        <v>42.857142857142854</v>
      </c>
      <c r="K21" s="3">
        <f t="shared" ref="K21:N21" si="8">K5/K17 * 100</f>
        <v>29.411764705882355</v>
      </c>
      <c r="L21" s="3">
        <f t="shared" si="8"/>
        <v>28.571428571428569</v>
      </c>
      <c r="M21" s="3">
        <f t="shared" si="8"/>
        <v>33.333333333333329</v>
      </c>
      <c r="N21" s="3">
        <f t="shared" si="8"/>
        <v>33.333333333333329</v>
      </c>
      <c r="P21" s="3">
        <f t="shared" ref="P21:Q21" si="9">P5/P17 * 100</f>
        <v>20</v>
      </c>
      <c r="Q21" s="3">
        <f t="shared" si="9"/>
        <v>23.076923076923077</v>
      </c>
    </row>
    <row r="22" spans="1:17" x14ac:dyDescent="0.2">
      <c r="A22" s="4">
        <v>46250</v>
      </c>
      <c r="B22" s="2">
        <v>4</v>
      </c>
      <c r="C22" s="3">
        <f t="shared" ref="C22:E22" si="10">C6/C17 * 100</f>
        <v>25</v>
      </c>
      <c r="D22" s="3">
        <f t="shared" si="10"/>
        <v>31.578947368421051</v>
      </c>
      <c r="E22" s="3">
        <f t="shared" si="10"/>
        <v>33.333333333333329</v>
      </c>
      <c r="I22" s="3">
        <f>I6/I17 * 100</f>
        <v>21.428571428571427</v>
      </c>
      <c r="K22" s="3">
        <f t="shared" ref="K22:N22" si="11">K6/K17 * 100</f>
        <v>11.76470588235294</v>
      </c>
      <c r="L22" s="3">
        <f t="shared" si="11"/>
        <v>9.5238095238095237</v>
      </c>
      <c r="M22" s="3">
        <f t="shared" si="11"/>
        <v>0</v>
      </c>
      <c r="N22" s="3">
        <f t="shared" si="11"/>
        <v>16.666666666666664</v>
      </c>
      <c r="P22" s="3">
        <f t="shared" ref="P22:Q22" si="12">P6/P17 * 100</f>
        <v>0</v>
      </c>
      <c r="Q22" s="3">
        <f t="shared" si="12"/>
        <v>0</v>
      </c>
    </row>
    <row r="23" spans="1:17" x14ac:dyDescent="0.2">
      <c r="A23" s="1" t="s">
        <v>21</v>
      </c>
      <c r="B23" s="2">
        <v>5</v>
      </c>
      <c r="C23" s="3">
        <f t="shared" ref="C23:E23" si="13">C7/C17 * 100</f>
        <v>30</v>
      </c>
      <c r="D23" s="3">
        <f t="shared" si="13"/>
        <v>36.84210526315789</v>
      </c>
      <c r="E23" s="3">
        <f t="shared" si="13"/>
        <v>40</v>
      </c>
      <c r="I23" s="3">
        <f>I7/I17 * 100</f>
        <v>0</v>
      </c>
      <c r="K23" s="3">
        <f t="shared" ref="K23:N23" si="14">K7/K17 * 100</f>
        <v>0</v>
      </c>
      <c r="L23" s="3">
        <f t="shared" si="14"/>
        <v>4.7619047619047619</v>
      </c>
      <c r="M23" s="3">
        <f t="shared" si="14"/>
        <v>22.222222222222221</v>
      </c>
      <c r="N23" s="3">
        <f t="shared" si="14"/>
        <v>0</v>
      </c>
      <c r="P23" s="3">
        <f t="shared" ref="P23:Q23" si="15">P7/P17 * 100</f>
        <v>20</v>
      </c>
      <c r="Q23" s="3">
        <f t="shared" si="15"/>
        <v>0</v>
      </c>
    </row>
    <row r="24" spans="1:17" x14ac:dyDescent="0.2">
      <c r="A24" s="1" t="s">
        <v>22</v>
      </c>
      <c r="B24" s="2">
        <v>6</v>
      </c>
      <c r="C24" s="3">
        <f t="shared" ref="C24:E24" si="16">C8/C17 * 100</f>
        <v>5</v>
      </c>
      <c r="D24" s="3">
        <f t="shared" si="16"/>
        <v>0</v>
      </c>
      <c r="E24" s="3">
        <f t="shared" si="16"/>
        <v>13.333333333333334</v>
      </c>
      <c r="I24" s="3">
        <f>I8/I17 * 100</f>
        <v>0</v>
      </c>
      <c r="K24" s="3">
        <f t="shared" ref="K24:N24" si="17">K8/K17 * 100</f>
        <v>0</v>
      </c>
      <c r="L24" s="3">
        <f t="shared" si="17"/>
        <v>0</v>
      </c>
      <c r="M24" s="3">
        <f t="shared" si="17"/>
        <v>11.111111111111111</v>
      </c>
      <c r="N24" s="3">
        <f t="shared" si="17"/>
        <v>0</v>
      </c>
      <c r="P24" s="3">
        <f t="shared" ref="P24:Q24" si="18">P8/P17 * 100</f>
        <v>10</v>
      </c>
      <c r="Q24" s="3">
        <f t="shared" si="18"/>
        <v>0</v>
      </c>
    </row>
    <row r="26" spans="1:17" x14ac:dyDescent="0.2">
      <c r="C26" s="3">
        <f t="shared" ref="C26:N26" si="19">SUM(C19:C24)</f>
        <v>100</v>
      </c>
      <c r="D26" s="3">
        <f t="shared" si="19"/>
        <v>99.999999999999986</v>
      </c>
      <c r="E26" s="3">
        <f t="shared" si="19"/>
        <v>99.999999999999986</v>
      </c>
      <c r="F26" s="3">
        <f t="shared" si="19"/>
        <v>0</v>
      </c>
      <c r="G26" s="3">
        <f t="shared" si="19"/>
        <v>0</v>
      </c>
      <c r="H26" s="3">
        <f t="shared" si="19"/>
        <v>0</v>
      </c>
      <c r="I26" s="3">
        <f t="shared" si="19"/>
        <v>99.999999999999986</v>
      </c>
      <c r="J26" s="3">
        <f t="shared" si="19"/>
        <v>0</v>
      </c>
      <c r="K26" s="3">
        <f t="shared" si="19"/>
        <v>100.00000000000001</v>
      </c>
      <c r="L26" s="3">
        <f t="shared" si="19"/>
        <v>99.999999999999986</v>
      </c>
      <c r="M26" s="3">
        <f t="shared" si="19"/>
        <v>100</v>
      </c>
      <c r="N26" s="3">
        <f t="shared" si="19"/>
        <v>99.999999999999972</v>
      </c>
    </row>
    <row r="27" spans="1:17" x14ac:dyDescent="0.2">
      <c r="A27" s="3" t="s">
        <v>38</v>
      </c>
    </row>
    <row r="28" spans="1:17" x14ac:dyDescent="0.2">
      <c r="A28" s="1" t="s">
        <v>19</v>
      </c>
      <c r="B28" s="2">
        <v>2</v>
      </c>
      <c r="C28" s="3">
        <f t="shared" ref="C28:E28" si="20">SUM(C19:C23)</f>
        <v>95</v>
      </c>
      <c r="D28" s="3">
        <f t="shared" si="20"/>
        <v>99.999999999999986</v>
      </c>
      <c r="E28" s="3">
        <f t="shared" si="20"/>
        <v>86.666666666666657</v>
      </c>
      <c r="I28" s="3">
        <v>0</v>
      </c>
      <c r="K28" s="3">
        <v>0</v>
      </c>
      <c r="L28" s="3">
        <v>0</v>
      </c>
      <c r="M28" s="3">
        <v>0</v>
      </c>
      <c r="N28" s="3">
        <v>0</v>
      </c>
      <c r="P28" s="3">
        <v>0</v>
      </c>
      <c r="Q28" s="3">
        <f>SUM(Q19:Q24)</f>
        <v>100</v>
      </c>
    </row>
    <row r="29" spans="1:17" x14ac:dyDescent="0.2">
      <c r="A29" s="4">
        <v>46057</v>
      </c>
      <c r="B29" s="2">
        <v>4</v>
      </c>
      <c r="C29" s="3">
        <f t="shared" ref="C29:E29" si="21">SUM(C20:C24)</f>
        <v>95</v>
      </c>
      <c r="D29" s="3">
        <f t="shared" si="21"/>
        <v>99.999999999999986</v>
      </c>
      <c r="E29" s="3">
        <f t="shared" si="21"/>
        <v>99.999999999999986</v>
      </c>
      <c r="I29" s="3">
        <f>SUM(I20:I24)</f>
        <v>78.571428571428569</v>
      </c>
      <c r="K29" s="3">
        <f t="shared" ref="K29:N29" si="22">SUM(K20:K24)</f>
        <v>76.47058823529413</v>
      </c>
      <c r="L29" s="3">
        <f t="shared" si="22"/>
        <v>76.190476190476176</v>
      </c>
      <c r="M29" s="3">
        <f t="shared" si="22"/>
        <v>88.888888888888886</v>
      </c>
      <c r="N29" s="3">
        <f t="shared" si="22"/>
        <v>83.333333333333314</v>
      </c>
      <c r="P29" s="3">
        <f t="shared" ref="P29:Q29" si="23">SUM(P20:P24)</f>
        <v>70</v>
      </c>
      <c r="Q29" s="3">
        <f t="shared" si="23"/>
        <v>69.230769230769226</v>
      </c>
    </row>
    <row r="30" spans="1:17" x14ac:dyDescent="0.2">
      <c r="A30" s="4">
        <v>46120</v>
      </c>
      <c r="B30" s="2">
        <v>8</v>
      </c>
      <c r="C30" s="3">
        <f t="shared" ref="C30:E30" si="24">SUM(C21:C26)</f>
        <v>180</v>
      </c>
      <c r="D30" s="3">
        <f t="shared" si="24"/>
        <v>189.4736842105263</v>
      </c>
      <c r="E30" s="3">
        <f t="shared" si="24"/>
        <v>199.99999999999997</v>
      </c>
      <c r="I30" s="3">
        <f>SUM(I21:I26)</f>
        <v>164.28571428571428</v>
      </c>
      <c r="K30" s="3">
        <f t="shared" ref="K30:N30" si="25">SUM(K21:K26)</f>
        <v>141.1764705882353</v>
      </c>
      <c r="L30" s="3">
        <f t="shared" si="25"/>
        <v>142.85714285714283</v>
      </c>
      <c r="M30" s="3">
        <f t="shared" si="25"/>
        <v>166.66666666666666</v>
      </c>
      <c r="N30" s="3">
        <f t="shared" si="25"/>
        <v>149.99999999999997</v>
      </c>
      <c r="P30" s="3">
        <f t="shared" ref="P30:Q30" si="26">SUM(P21:P26)</f>
        <v>50</v>
      </c>
      <c r="Q30" s="3">
        <f t="shared" si="26"/>
        <v>23.076923076923077</v>
      </c>
    </row>
    <row r="31" spans="1:17" x14ac:dyDescent="0.2">
      <c r="A31" s="4">
        <v>46250</v>
      </c>
      <c r="B31" s="2">
        <v>16</v>
      </c>
      <c r="C31" s="3">
        <f t="shared" ref="C31:E31" si="27">SUM(C22:C26)</f>
        <v>160</v>
      </c>
      <c r="D31" s="3">
        <f t="shared" si="27"/>
        <v>168.42105263157893</v>
      </c>
      <c r="E31" s="3">
        <f t="shared" si="27"/>
        <v>186.66666666666663</v>
      </c>
      <c r="I31" s="3">
        <f>SUM(I22:I26)</f>
        <v>121.42857142857142</v>
      </c>
      <c r="K31" s="3">
        <f t="shared" ref="K31:N31" si="28">SUM(K22:K26)</f>
        <v>111.76470588235296</v>
      </c>
      <c r="L31" s="3">
        <f t="shared" si="28"/>
        <v>114.28571428571428</v>
      </c>
      <c r="M31" s="3">
        <f t="shared" si="28"/>
        <v>133.33333333333331</v>
      </c>
      <c r="N31" s="3">
        <f t="shared" si="28"/>
        <v>116.66666666666663</v>
      </c>
      <c r="P31" s="3">
        <f t="shared" ref="P31:Q31" si="29">SUM(P22:P26)</f>
        <v>30</v>
      </c>
      <c r="Q31" s="3">
        <f t="shared" si="29"/>
        <v>0</v>
      </c>
    </row>
    <row r="32" spans="1:17" x14ac:dyDescent="0.2">
      <c r="A32" s="1" t="s">
        <v>21</v>
      </c>
      <c r="B32" s="2">
        <v>32</v>
      </c>
      <c r="C32" s="3">
        <f t="shared" ref="C32:E32" si="30">SUM(C23:C28)</f>
        <v>230</v>
      </c>
      <c r="D32" s="3">
        <f t="shared" si="30"/>
        <v>236.84210526315786</v>
      </c>
      <c r="E32" s="3">
        <f t="shared" si="30"/>
        <v>239.99999999999997</v>
      </c>
      <c r="I32" s="3">
        <f>SUM(I23:I28)</f>
        <v>99.999999999999986</v>
      </c>
      <c r="K32" s="3">
        <f t="shared" ref="K32:N32" si="31">SUM(K23:K28)</f>
        <v>100.00000000000001</v>
      </c>
      <c r="L32" s="3">
        <f t="shared" si="31"/>
        <v>104.76190476190474</v>
      </c>
      <c r="M32" s="3">
        <f t="shared" si="31"/>
        <v>133.33333333333331</v>
      </c>
      <c r="N32" s="3">
        <f t="shared" si="31"/>
        <v>99.999999999999972</v>
      </c>
      <c r="P32" s="3">
        <f t="shared" ref="P32:Q32" si="32">SUM(P23:P28)</f>
        <v>30</v>
      </c>
      <c r="Q32" s="3">
        <f t="shared" si="32"/>
        <v>100</v>
      </c>
    </row>
    <row r="33" spans="1:17" x14ac:dyDescent="0.2">
      <c r="A33" s="1" t="s">
        <v>22</v>
      </c>
      <c r="B33" s="2">
        <v>64</v>
      </c>
      <c r="C33" s="3">
        <f t="shared" ref="C33:E33" si="33">SUM(C24:C28)</f>
        <v>200</v>
      </c>
      <c r="D33" s="3">
        <f t="shared" si="33"/>
        <v>199.99999999999997</v>
      </c>
      <c r="E33" s="3">
        <f t="shared" si="33"/>
        <v>199.99999999999997</v>
      </c>
      <c r="I33" s="3">
        <f>SUM(I24:I28)</f>
        <v>99.999999999999986</v>
      </c>
      <c r="K33" s="3">
        <f t="shared" ref="K33:N33" si="34">SUM(K24:K28)</f>
        <v>100.00000000000001</v>
      </c>
      <c r="L33" s="3">
        <f t="shared" si="34"/>
        <v>99.999999999999986</v>
      </c>
      <c r="M33" s="3">
        <f t="shared" si="34"/>
        <v>111.11111111111111</v>
      </c>
      <c r="N33" s="3">
        <f t="shared" si="34"/>
        <v>99.999999999999972</v>
      </c>
      <c r="P33" s="3">
        <f t="shared" ref="P33:Q33" si="35">SUM(P24:P28)</f>
        <v>10</v>
      </c>
      <c r="Q33" s="3">
        <f t="shared" si="35"/>
        <v>100</v>
      </c>
    </row>
    <row r="35" spans="1:17" x14ac:dyDescent="0.2">
      <c r="B35" s="3">
        <v>5</v>
      </c>
      <c r="C35" s="3" t="e">
        <f t="array" ref="C35">10^(LOG10(INDEX(B28:B33, MATCH(B35, C28:C33, 1))) +
(B35 - INDEX(C28:C33, MATCH(B35, C28:C33, 1))) /
(INDEX(C28:C33, MATCH(B35, C28:C33, 1)+1) -
 INDEX(C28:C33, MATCH(B35, C28:C33, 1))) *
(LOG10(INDEX(B28:B33, MATCH(B35, C28:C33, 1)+1) -LOG10(INDEX(B28:B33, MATCH(B35, C28:C33, 1))) )
))</f>
        <v>#N/A</v>
      </c>
    </row>
    <row r="36" spans="1:17" x14ac:dyDescent="0.2">
      <c r="B36" s="3">
        <v>16</v>
      </c>
    </row>
    <row r="37" spans="1:17" x14ac:dyDescent="0.2">
      <c r="B37" s="3">
        <v>50</v>
      </c>
    </row>
    <row r="38" spans="1:17" x14ac:dyDescent="0.2">
      <c r="B38" s="3">
        <v>84</v>
      </c>
    </row>
    <row r="51" spans="2:2" x14ac:dyDescent="0.2">
      <c r="B51" s="3" t="s">
        <v>32</v>
      </c>
    </row>
    <row r="52" spans="2:2" x14ac:dyDescent="0.2">
      <c r="B52" s="3" t="s">
        <v>33</v>
      </c>
    </row>
    <row r="53" spans="2:2" x14ac:dyDescent="0.2">
      <c r="B53" s="3" t="s">
        <v>34</v>
      </c>
    </row>
    <row r="54" spans="2:2" x14ac:dyDescent="0.2">
      <c r="B54" s="3" t="s">
        <v>35</v>
      </c>
    </row>
  </sheetData>
  <mergeCells count="2">
    <mergeCell ref="A1:B1"/>
    <mergeCell ref="C1:Q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43933D6F8D1E40809EE4DB1C0D7FB3" ma:contentTypeVersion="18" ma:contentTypeDescription="Create a new document." ma:contentTypeScope="" ma:versionID="63580d6cecf14fa8ad4e4d44146a12c7">
  <xsd:schema xmlns:xsd="http://www.w3.org/2001/XMLSchema" xmlns:xs="http://www.w3.org/2001/XMLSchema" xmlns:p="http://schemas.microsoft.com/office/2006/metadata/properties" xmlns:ns3="ab3252ec-2af7-40f6-a231-92efeaf19fc1" xmlns:ns4="730d15b1-4d5a-49f5-b48e-fc0e39a94799" targetNamespace="http://schemas.microsoft.com/office/2006/metadata/properties" ma:root="true" ma:fieldsID="fa012826daabde8dbf1d18fbec25c4e0" ns3:_="" ns4:_="">
    <xsd:import namespace="ab3252ec-2af7-40f6-a231-92efeaf19fc1"/>
    <xsd:import namespace="730d15b1-4d5a-49f5-b48e-fc0e39a9479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3252ec-2af7-40f6-a231-92efeaf19f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0d15b1-4d5a-49f5-b48e-fc0e39a9479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b3252ec-2af7-40f6-a231-92efeaf19fc1" xsi:nil="true"/>
  </documentManagement>
</p:properties>
</file>

<file path=customXml/itemProps1.xml><?xml version="1.0" encoding="utf-8"?>
<ds:datastoreItem xmlns:ds="http://schemas.openxmlformats.org/officeDocument/2006/customXml" ds:itemID="{49E1A1C2-78FA-4A2E-BFA3-D856B660AD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3252ec-2af7-40f6-a231-92efeaf19fc1"/>
    <ds:schemaRef ds:uri="730d15b1-4d5a-49f5-b48e-fc0e39a947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880A74-29C8-440A-9B10-23AE31EE54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CD235A-5532-4D0A-B057-BC0E9072D8E1}">
  <ds:schemaRefs>
    <ds:schemaRef ds:uri="http://purl.org/dc/elements/1.1/"/>
    <ds:schemaRef ds:uri="http://purl.org/dc/dcmitype/"/>
    <ds:schemaRef ds:uri="http://schemas.microsoft.com/office/2006/metadata/properties"/>
    <ds:schemaRef ds:uri="http://schemas.microsoft.com/office/infopath/2007/PartnerControls"/>
    <ds:schemaRef ds:uri="ab3252ec-2af7-40f6-a231-92efeaf19fc1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730d15b1-4d5a-49f5-b48e-fc0e39a94799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 sediment distributions</vt:lpstr>
      <vt:lpstr>field measurements</vt:lpstr>
      <vt:lpstr>finer sediment</vt:lpstr>
      <vt:lpstr>Copy of field measurements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Hrivnak</dc:creator>
  <cp:lastModifiedBy>Hrivnak, Morgan</cp:lastModifiedBy>
  <dcterms:created xsi:type="dcterms:W3CDTF">2026-02-03T06:43:05Z</dcterms:created>
  <dcterms:modified xsi:type="dcterms:W3CDTF">2026-02-03T06:44:17Z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b311d3-aea9-4488-bc88-99739ecc7603_Enabled">
    <vt:lpwstr>true</vt:lpwstr>
  </property>
  <property fmtid="{D5CDD505-2E9C-101B-9397-08002B2CF9AE}" pid="3" name="MSIP_Label_8cb311d3-aea9-4488-bc88-99739ecc7603_SetDate">
    <vt:lpwstr>2026-02-03T04:31:18Z</vt:lpwstr>
  </property>
  <property fmtid="{D5CDD505-2E9C-101B-9397-08002B2CF9AE}" pid="4" name="MSIP_Label_8cb311d3-aea9-4488-bc88-99739ecc7603_Method">
    <vt:lpwstr>Standard</vt:lpwstr>
  </property>
  <property fmtid="{D5CDD505-2E9C-101B-9397-08002B2CF9AE}" pid="5" name="MSIP_Label_8cb311d3-aea9-4488-bc88-99739ecc7603_Name">
    <vt:lpwstr>Internal - University</vt:lpwstr>
  </property>
  <property fmtid="{D5CDD505-2E9C-101B-9397-08002B2CF9AE}" pid="6" name="MSIP_Label_8cb311d3-aea9-4488-bc88-99739ecc7603_SiteId">
    <vt:lpwstr>9c36a7d0-bf7b-4991-9b78-be91a52f0226</vt:lpwstr>
  </property>
  <property fmtid="{D5CDD505-2E9C-101B-9397-08002B2CF9AE}" pid="7" name="MSIP_Label_8cb311d3-aea9-4488-bc88-99739ecc7603_ActionId">
    <vt:lpwstr>e6a292af-e57c-47a3-a904-11272a4081a9</vt:lpwstr>
  </property>
  <property fmtid="{D5CDD505-2E9C-101B-9397-08002B2CF9AE}" pid="8" name="MSIP_Label_8cb311d3-aea9-4488-bc88-99739ecc7603_ContentBits">
    <vt:lpwstr>0</vt:lpwstr>
  </property>
  <property fmtid="{D5CDD505-2E9C-101B-9397-08002B2CF9AE}" pid="9" name="MSIP_Label_8cb311d3-aea9-4488-bc88-99739ecc7603_Tag">
    <vt:lpwstr>10, 3, 0, 1</vt:lpwstr>
  </property>
  <property fmtid="{D5CDD505-2E9C-101B-9397-08002B2CF9AE}" pid="10" name="ContentTypeId">
    <vt:lpwstr>0x0101007A43933D6F8D1E40809EE4DB1C0D7FB3</vt:lpwstr>
  </property>
</Properties>
</file>